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HP i7\OneDrive\Desktop\FireAlarm Detection and Alert System\"/>
    </mc:Choice>
  </mc:AlternateContent>
  <bookViews>
    <workbookView xWindow="0" yWindow="0" windowWidth="7470" windowHeight="2805" tabRatio="683"/>
  </bookViews>
  <sheets>
    <sheet name="Plant Monitoring Sensor Network" sheetId="12" r:id="rId1"/>
    <sheet name="Component List" sheetId="9" r:id="rId2"/>
    <sheet name="Additional Project Details" sheetId="10" r:id="rId3"/>
  </sheets>
  <definedNames>
    <definedName name="_xlnm.Print_Area" localSheetId="0">'Plant Monitoring Sensor Network'!$A$1:$F$103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7" i="12" l="1"/>
  <c r="C76" i="12" s="1"/>
  <c r="E81" i="12"/>
  <c r="B79" i="12"/>
  <c r="B78" i="12"/>
  <c r="B77" i="12"/>
  <c r="B76" i="12"/>
  <c r="F70" i="12"/>
  <c r="F69" i="12"/>
  <c r="F68" i="12"/>
  <c r="F67" i="12"/>
  <c r="F66" i="12"/>
  <c r="F65" i="12"/>
  <c r="F64" i="12"/>
  <c r="F63" i="12"/>
  <c r="F59" i="12"/>
  <c r="C79" i="12" s="1"/>
  <c r="D41" i="12"/>
  <c r="C78" i="12" s="1"/>
  <c r="D34" i="12"/>
  <c r="C77" i="12" s="1"/>
  <c r="D78" i="12" l="1"/>
  <c r="F78" i="12" s="1"/>
  <c r="F71" i="12"/>
  <c r="D80" i="12" s="1"/>
  <c r="F80" i="12" s="1"/>
  <c r="C81" i="12"/>
  <c r="D76" i="12"/>
  <c r="D77" i="12"/>
  <c r="F77" i="12" s="1"/>
  <c r="D79" i="12"/>
  <c r="F79" i="12" s="1"/>
  <c r="H6" i="9"/>
  <c r="H5" i="9"/>
  <c r="H8" i="9" s="1"/>
  <c r="H4" i="9"/>
  <c r="H3" i="9"/>
  <c r="H2" i="9"/>
  <c r="D81" i="12" l="1"/>
  <c r="F76" i="12"/>
  <c r="F81" i="12" s="1"/>
</calcChain>
</file>

<file path=xl/sharedStrings.xml><?xml version="1.0" encoding="utf-8"?>
<sst xmlns="http://schemas.openxmlformats.org/spreadsheetml/2006/main" count="161" uniqueCount="144">
  <si>
    <t>Project Dashboard - Comprehensive Project Tracking System</t>
  </si>
  <si>
    <t>M. Zaeem | Electronics &amp; Embedded Systems Engineer | BSc Electrical Engineering | MSc Autonomous Systems</t>
  </si>
  <si>
    <t>1. Project Basic Information</t>
  </si>
  <si>
    <t>Project Name:</t>
  </si>
  <si>
    <t>Client Name:</t>
  </si>
  <si>
    <t>Start Date:</t>
  </si>
  <si>
    <t>Expected End Date:</t>
  </si>
  <si>
    <t>Pricing Model:</t>
  </si>
  <si>
    <t>Fixed Price</t>
  </si>
  <si>
    <t xml:space="preserve">Hourly Rate </t>
  </si>
  <si>
    <t>Hourly Rate Per Hour ($):</t>
  </si>
  <si>
    <t>Total Project Budget:</t>
  </si>
  <si>
    <t>Payment by Milestone:</t>
  </si>
  <si>
    <t>2. Project Requirements</t>
  </si>
  <si>
    <t xml:space="preserve">3. Project Milestones </t>
  </si>
  <si>
    <t>Milestone 1</t>
  </si>
  <si>
    <t>Task Requirements</t>
  </si>
  <si>
    <t>Description</t>
  </si>
  <si>
    <t>Status</t>
  </si>
  <si>
    <t>Milestone 2</t>
  </si>
  <si>
    <t>Milestone 3</t>
  </si>
  <si>
    <t>4. Key Deliverables</t>
  </si>
  <si>
    <t xml:space="preserve">Additional Requirements </t>
  </si>
  <si>
    <t xml:space="preserve"> Project End Goal and Approval Criteria</t>
  </si>
  <si>
    <t>Sensor Selection</t>
  </si>
  <si>
    <t>Hardware</t>
  </si>
  <si>
    <t>All hardware components functioning to specification
Software meets All requirements with no critical bugs
Client signs off on final deliverables</t>
  </si>
  <si>
    <t>Firmware Development</t>
  </si>
  <si>
    <t>Schematic Drawing</t>
  </si>
  <si>
    <t>PCB Layout</t>
  </si>
  <si>
    <t>Power requirements</t>
  </si>
  <si>
    <t>Gerber Files</t>
  </si>
  <si>
    <t>Bill of Materials (BOM)</t>
  </si>
  <si>
    <t>Software</t>
  </si>
  <si>
    <t>Design</t>
  </si>
  <si>
    <t>PCB Fabrication Ordering</t>
  </si>
  <si>
    <t>PCB Assembly (soldering components)</t>
  </si>
  <si>
    <t>Board Testing</t>
  </si>
  <si>
    <t>3D Enclosure Design</t>
  </si>
  <si>
    <t>Task / Milestone</t>
  </si>
  <si>
    <t>Paid ($)</t>
  </si>
  <si>
    <t>Remaining ($)</t>
  </si>
  <si>
    <t>Total Amount:</t>
  </si>
  <si>
    <r>
      <t xml:space="preserve">Thank you for choosing to work with me. I truly appreciate your trust, and I’ll do my best to bring your idea to life with precision, dedication, and transparency. This spreadsheet has been created to provide a clear overview of project scope, progress, and costs, ensuring full visibility at every step.
</t>
    </r>
    <r>
      <rPr>
        <b/>
        <sz val="11"/>
        <color rgb="FF000000"/>
        <rFont val="Cambria"/>
        <family val="1"/>
        <scheme val="major"/>
      </rPr>
      <t xml:space="preserve">Please Note:
</t>
    </r>
    <r>
      <rPr>
        <sz val="11"/>
        <color rgb="FF000000"/>
        <rFont val="Cambria"/>
        <family val="1"/>
        <scheme val="major"/>
      </rPr>
      <t>The quotation provided does not include external expenses such as:
- Component sourcing (AliExpress, Digi-Key, etc.)
- PCB fabrication or assembly services (e.g., JLCPCB, PCBWay)
- Import duties, VAT, or customs clearance fees
- Packaging or shipping of prototypes
- Specialized tooling or any outsourced service costs
- These costs will be discussed and billed separately if required during the project.
Looking forward to building something great together  from concept to completion, I'm here as your technical partner.
Warm regards,
M. Zaeem
Electronics &amp; Embedded Systems Engineer</t>
    </r>
  </si>
  <si>
    <t>Item / Description</t>
  </si>
  <si>
    <t>Category</t>
  </si>
  <si>
    <t>Notes</t>
  </si>
  <si>
    <t>Cost per Unit ($)</t>
  </si>
  <si>
    <t>Units</t>
  </si>
  <si>
    <t>Total ($)</t>
  </si>
  <si>
    <t>PCB Fabrication (JLCPCB)</t>
  </si>
  <si>
    <t>Fabrication</t>
  </si>
  <si>
    <t>Customs VAT</t>
  </si>
  <si>
    <t>Customs/Tax</t>
  </si>
  <si>
    <t>Enclosure Printing</t>
  </si>
  <si>
    <t>Outsourcing</t>
  </si>
  <si>
    <t>PCB Assembly</t>
  </si>
  <si>
    <t>Assembly Service</t>
  </si>
  <si>
    <t>Components</t>
  </si>
  <si>
    <t>Components LCSC</t>
  </si>
  <si>
    <t>Unit Testing Labor</t>
  </si>
  <si>
    <t>Testing</t>
  </si>
  <si>
    <t>Delivery to Client</t>
  </si>
  <si>
    <t>Logistics</t>
  </si>
  <si>
    <t xml:space="preserve">Others </t>
  </si>
  <si>
    <t>Total Cost:</t>
  </si>
  <si>
    <t>Additional Expenses</t>
  </si>
  <si>
    <t>Component Name</t>
  </si>
  <si>
    <t>Description / Use</t>
  </si>
  <si>
    <t>Quantity</t>
  </si>
  <si>
    <t>Sr. No</t>
  </si>
  <si>
    <t>Not shipped is red</t>
  </si>
  <si>
    <t>Shipped is yellow</t>
  </si>
  <si>
    <t>Arrived is green</t>
  </si>
  <si>
    <t>Finalize System Architecture</t>
  </si>
  <si>
    <t xml:space="preserve">Finalising Components and Create Shopping List </t>
  </si>
  <si>
    <t>Variant</t>
  </si>
  <si>
    <t xml:space="preserve">Aproximate Bill of Materials = </t>
  </si>
  <si>
    <t>Link to Cart</t>
  </si>
  <si>
    <t>Unit Price</t>
  </si>
  <si>
    <t>Total Price (Euro)</t>
  </si>
  <si>
    <t>LSM6DSO32 6-DOF Accelerometer Adafruit</t>
  </si>
  <si>
    <t>1528-4692-ND</t>
  </si>
  <si>
    <t>Measures acceleration and rotation.</t>
  </si>
  <si>
    <t>https://www.digikey.fi/short/0h7tf7fn</t>
  </si>
  <si>
    <t xml:space="preserve">nRF52840 Module with Antenna </t>
  </si>
  <si>
    <t>672-NINA-B306-01BCT-ND</t>
  </si>
  <si>
    <t>Bluetooth wireless module for for prototyping.</t>
  </si>
  <si>
    <t>BMP390 Precision Barometric Sensor Adafruit</t>
  </si>
  <si>
    <t>1528-4816-ND</t>
  </si>
  <si>
    <t>Measures altitude via pressure.</t>
  </si>
  <si>
    <t>Nano 33 BLE Rev2 Arduino</t>
  </si>
  <si>
    <t>1050-ABX00071-ND</t>
  </si>
  <si>
    <t>Microcontroller for prototyping.</t>
  </si>
  <si>
    <t>Seeed Studio XIAO ESP32C3</t>
  </si>
  <si>
    <t>1597-113991054-ND</t>
  </si>
  <si>
    <t>Backup Option Microcontroller for prototyping.</t>
  </si>
  <si>
    <t>Additional Project Information</t>
  </si>
  <si>
    <t xml:space="preserve">Firmware Development with sensor interation </t>
  </si>
  <si>
    <t>Complete manuals, diagrams, and assembly instructions.</t>
  </si>
  <si>
    <t>Breadboard testing with Sensors (solderless)</t>
  </si>
  <si>
    <t>Real-World Unit Testing (Minimal Functionalities ofline Version)</t>
  </si>
  <si>
    <t>Firmware enhancement (calibration, buffering, power management)</t>
  </si>
  <si>
    <t>PCB assembly &amp; solder components (Adding Indicators on Enclosure)</t>
  </si>
  <si>
    <t>System integration (hardware + firmware + sensors)</t>
  </si>
  <si>
    <t>Complete documentation (manuals, diagrams, instructions)</t>
  </si>
  <si>
    <t>Deliver final project to client</t>
  </si>
  <si>
    <t>Planning &amp; Initial Testing</t>
  </si>
  <si>
    <t>Final Assembly &amp; Delivery</t>
  </si>
  <si>
    <t>IP67 weatherproof enclosure</t>
  </si>
  <si>
    <t>Corrosion-resistant materials</t>
  </si>
  <si>
    <t>LED status indicators</t>
  </si>
  <si>
    <t>Outdoor mounting system and Compact modular design</t>
  </si>
  <si>
    <t>Firmware sensor integration</t>
  </si>
  <si>
    <t>Assembled sensor nodes</t>
  </si>
  <si>
    <t xml:space="preserve">Hours Spent </t>
  </si>
  <si>
    <t xml:space="preserve">Milestone 1 Hours : </t>
  </si>
  <si>
    <t xml:space="preserve">Milestone 2 Hours : </t>
  </si>
  <si>
    <t xml:space="preserve">Milestone 3 Hours : </t>
  </si>
  <si>
    <t>5. Unallocated Task Time Tracking</t>
  </si>
  <si>
    <t>Task Description</t>
  </si>
  <si>
    <t>Hours:</t>
  </si>
  <si>
    <t>6. Additional Expenses :</t>
  </si>
  <si>
    <t>7. Payment Section</t>
  </si>
  <si>
    <t>Hourly Payments</t>
  </si>
  <si>
    <t>Rate ($/hr)</t>
  </si>
  <si>
    <t>Hours Worked</t>
  </si>
  <si>
    <t>Amount ($)</t>
  </si>
  <si>
    <t>Extra Tasks (Unallocated)</t>
  </si>
  <si>
    <t xml:space="preserve">Nil </t>
  </si>
  <si>
    <t>Nil</t>
  </si>
  <si>
    <t>15/01/2026</t>
  </si>
  <si>
    <t>2100$</t>
  </si>
  <si>
    <t>Integrate battery</t>
  </si>
  <si>
    <t>Add IoT functionality</t>
  </si>
  <si>
    <t xml:space="preserve">Develop  node / data preprocessing </t>
  </si>
  <si>
    <t>Power &amp; Connectivity (IoT)</t>
  </si>
  <si>
    <t>End-to-end testing (sensors, battery, visualization)</t>
  </si>
  <si>
    <t xml:space="preserve">IOT communication or WIFI </t>
  </si>
  <si>
    <t>Battery Operated System</t>
  </si>
  <si>
    <t>Microphone calibration option</t>
  </si>
  <si>
    <t>s</t>
  </si>
  <si>
    <t>FireAlarm Detection and Alert System</t>
  </si>
  <si>
    <t>Hanna Latif-Walmsley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</si>
</sst>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5" formatCode="[$€-2]\ #,##0.00"/>
  </numFmts>
  <fonts count="21" x14ac:knownFonts="1">
    <font>
      <sz val="11"/>
      <color theme="1"/>
      <name val="Calibri"/>
      <family val="2"/>
      <scheme val="minor"/>
    </font>
    <font>
      <sz val="11"/>
      <color theme="1"/>
      <name val="Cambria"/>
      <family val="1"/>
    </font>
    <font>
      <i/>
      <sz val="11"/>
      <color rgb="FF7F8C8D"/>
      <name val="Cambria"/>
      <family val="1"/>
      <scheme val="major"/>
    </font>
    <font>
      <b/>
      <sz val="11"/>
      <name val="Cambria"/>
      <family val="1"/>
      <scheme val="major"/>
    </font>
    <font>
      <sz val="11"/>
      <name val="Cambria"/>
      <family val="1"/>
      <scheme val="major"/>
    </font>
    <font>
      <b/>
      <sz val="11"/>
      <color theme="1"/>
      <name val="Cambria"/>
      <family val="1"/>
      <scheme val="major"/>
    </font>
    <font>
      <sz val="11"/>
      <color theme="1"/>
      <name val="Cambria"/>
      <family val="1"/>
      <scheme val="major"/>
    </font>
    <font>
      <b/>
      <sz val="11"/>
      <color rgb="FF000000"/>
      <name val="Cambria"/>
      <family val="1"/>
      <scheme val="major"/>
    </font>
    <font>
      <b/>
      <sz val="11"/>
      <color rgb="FF1D4ED8"/>
      <name val="Cambria"/>
      <family val="1"/>
      <scheme val="major"/>
    </font>
    <font>
      <b/>
      <sz val="11"/>
      <color theme="0"/>
      <name val="Cambria"/>
      <family val="1"/>
      <scheme val="major"/>
    </font>
    <font>
      <sz val="11"/>
      <color theme="0"/>
      <name val="Cambria"/>
      <family val="1"/>
      <scheme val="major"/>
    </font>
    <font>
      <sz val="11"/>
      <color rgb="FF000000"/>
      <name val="Cambria"/>
      <family val="1"/>
      <scheme val="major"/>
    </font>
    <font>
      <sz val="11"/>
      <color rgb="FF1D4ED8"/>
      <name val="Cambria"/>
      <family val="1"/>
      <scheme val="major"/>
    </font>
    <font>
      <b/>
      <sz val="11"/>
      <color rgb="FFFFFFFF"/>
      <name val="Cambria"/>
      <family val="1"/>
      <scheme val="major"/>
    </font>
    <font>
      <b/>
      <sz val="11"/>
      <color theme="1"/>
      <name val="Calibri"/>
      <family val="2"/>
      <scheme val="minor"/>
    </font>
    <font>
      <u/>
      <sz val="11"/>
      <color theme="10"/>
      <name val="Calibri"/>
      <family val="2"/>
      <scheme val="minor"/>
    </font>
    <font>
      <sz val="10"/>
      <color theme="1"/>
      <name val="Arial"/>
      <family val="2"/>
    </font>
    <font>
      <b/>
      <sz val="16"/>
      <color theme="0"/>
      <name val="Calibri"/>
      <family val="2"/>
      <scheme val="minor"/>
    </font>
    <font>
      <b/>
      <sz val="12"/>
      <color theme="0"/>
      <name val="Cambria"/>
      <family val="1"/>
      <scheme val="major"/>
    </font>
    <font>
      <b/>
      <sz val="11"/>
      <color theme="7"/>
      <name val="Cambria"/>
      <family val="1"/>
      <scheme val="major"/>
    </font>
    <font>
      <b/>
      <sz val="12"/>
      <color theme="1"/>
      <name val="Cambria"/>
      <family val="1"/>
      <scheme val="major"/>
    </font>
  </fonts>
  <fills count="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theme="7"/>
        <bgColor indexed="64"/>
      </patternFill>
    </fill>
    <fill>
      <patternFill patternType="solid">
        <fgColor rgb="FF34A853"/>
        <bgColor indexed="64"/>
      </patternFill>
    </fill>
  </fills>
  <borders count="43">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bottom/>
      <diagonal/>
    </border>
    <border>
      <left/>
      <right style="thin">
        <color indexed="64"/>
      </right>
      <top/>
      <bottom/>
      <diagonal/>
    </border>
    <border>
      <left/>
      <right style="thin">
        <color indexed="64"/>
      </right>
      <top style="thin">
        <color rgb="FF000000"/>
      </top>
      <bottom/>
      <diagonal/>
    </border>
    <border>
      <left style="thin">
        <color indexed="64"/>
      </left>
      <right/>
      <top style="thin">
        <color rgb="FF000000"/>
      </top>
      <bottom/>
      <diagonal/>
    </border>
    <border>
      <left style="thin">
        <color indexed="64"/>
      </left>
      <right/>
      <top/>
      <bottom style="thin">
        <color rgb="FF000000"/>
      </bottom>
      <diagonal/>
    </border>
    <border>
      <left/>
      <right style="thin">
        <color indexed="64"/>
      </right>
      <top/>
      <bottom style="thin">
        <color rgb="FF000000"/>
      </bottom>
      <diagonal/>
    </border>
    <border>
      <left style="thin">
        <color indexed="64"/>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top style="thin">
        <color rgb="FF000000"/>
      </top>
      <bottom style="thin">
        <color rgb="FF000000"/>
      </bottom>
      <diagonal/>
    </border>
    <border>
      <left style="thin">
        <color rgb="FF000000"/>
      </left>
      <right style="thin">
        <color indexed="64"/>
      </right>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bottom style="thin">
        <color rgb="FF000000"/>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rgb="FF000000"/>
      </left>
      <right style="thin">
        <color indexed="64"/>
      </right>
      <top style="thin">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s>
  <cellStyleXfs count="2">
    <xf numFmtId="0" fontId="0" fillId="0" borderId="0"/>
    <xf numFmtId="0" fontId="15" fillId="0" borderId="0" applyNumberFormat="0" applyFill="0" applyBorder="0" applyAlignment="0" applyProtection="0"/>
  </cellStyleXfs>
  <cellXfs count="225">
    <xf numFmtId="0" fontId="0" fillId="0" borderId="0" xfId="0"/>
    <xf numFmtId="0" fontId="1" fillId="0" borderId="0" xfId="0" applyFont="1" applyBorder="1"/>
    <xf numFmtId="0" fontId="1" fillId="0" borderId="0" xfId="0" applyFont="1" applyFill="1" applyBorder="1"/>
    <xf numFmtId="0" fontId="1" fillId="0" borderId="0" xfId="0" applyFont="1" applyBorder="1" applyAlignment="1"/>
    <xf numFmtId="0" fontId="3" fillId="0" borderId="7" xfId="0" applyFont="1" applyFill="1" applyBorder="1" applyAlignment="1">
      <alignment vertical="center"/>
    </xf>
    <xf numFmtId="0" fontId="5" fillId="0" borderId="0" xfId="0" applyFont="1" applyBorder="1" applyAlignment="1">
      <alignment horizontal="left" vertical="center"/>
    </xf>
    <xf numFmtId="0" fontId="5" fillId="0" borderId="0" xfId="0" applyFont="1" applyBorder="1" applyAlignment="1">
      <alignment horizontal="left" vertical="center"/>
      <extLst>
        <ext xmlns:xfpb="http://schemas.microsoft.com/office/spreadsheetml/2022/featurepropertybag" uri="{C7286773-470A-42A8-94C5-96B5CB345126}">
          <xfpb:xfComplement i="0"/>
        </ext>
      </extLst>
    </xf>
    <xf numFmtId="0" fontId="5" fillId="0" borderId="7" xfId="0" applyFont="1" applyBorder="1" applyAlignment="1">
      <alignment vertical="center"/>
    </xf>
    <xf numFmtId="0" fontId="5" fillId="0" borderId="7" xfId="0" applyFont="1" applyBorder="1" applyAlignment="1">
      <alignment horizontal="center" vertical="center"/>
    </xf>
    <xf numFmtId="0" fontId="6" fillId="0" borderId="7" xfId="0" applyFont="1" applyBorder="1" applyAlignment="1">
      <alignment vertical="center"/>
    </xf>
    <xf numFmtId="164" fontId="6" fillId="0" borderId="7" xfId="0" applyNumberFormat="1" applyFont="1" applyBorder="1" applyAlignment="1">
      <alignment horizontal="center" vertical="center"/>
    </xf>
    <xf numFmtId="0" fontId="6" fillId="0" borderId="6" xfId="0" applyFont="1" applyBorder="1" applyAlignment="1">
      <alignment vertical="center"/>
    </xf>
    <xf numFmtId="0" fontId="6" fillId="0" borderId="10" xfId="0" applyFont="1" applyBorder="1" applyAlignment="1">
      <alignment vertical="center"/>
    </xf>
    <xf numFmtId="0" fontId="4" fillId="0" borderId="25" xfId="0" applyFont="1" applyBorder="1" applyAlignment="1">
      <alignment vertical="center"/>
    </xf>
    <xf numFmtId="0" fontId="3" fillId="0" borderId="17" xfId="0" applyFont="1" applyBorder="1" applyAlignment="1">
      <alignment vertical="center"/>
    </xf>
    <xf numFmtId="164" fontId="4" fillId="0" borderId="18" xfId="0" applyNumberFormat="1" applyFont="1" applyBorder="1" applyAlignment="1">
      <alignment horizontal="center" vertical="center"/>
    </xf>
    <xf numFmtId="0" fontId="5" fillId="0" borderId="23" xfId="0" applyFont="1"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vertical="center"/>
    </xf>
    <xf numFmtId="0" fontId="6" fillId="0" borderId="28" xfId="0" applyFont="1" applyBorder="1" applyAlignment="1">
      <alignment vertical="center" wrapText="1"/>
    </xf>
    <xf numFmtId="0" fontId="14" fillId="0" borderId="0" xfId="0" applyFont="1" applyBorder="1" applyAlignment="1">
      <alignment horizontal="center" vertical="center"/>
    </xf>
    <xf numFmtId="0" fontId="0" fillId="0" borderId="0" xfId="0" applyBorder="1" applyAlignment="1"/>
    <xf numFmtId="0" fontId="0" fillId="0" borderId="0" xfId="0" applyBorder="1"/>
    <xf numFmtId="0" fontId="0" fillId="0" borderId="0" xfId="0" applyBorder="1" applyAlignment="1">
      <alignment vertical="center"/>
    </xf>
    <xf numFmtId="0" fontId="6" fillId="5" borderId="10" xfId="0" applyFont="1" applyFill="1" applyBorder="1" applyAlignment="1">
      <alignment horizontal="center" vertical="center" wrapText="1"/>
    </xf>
    <xf numFmtId="0" fontId="8" fillId="5" borderId="25" xfId="0" applyFont="1" applyFill="1" applyBorder="1" applyAlignment="1">
      <alignment horizontal="center" vertical="center"/>
    </xf>
    <xf numFmtId="0" fontId="10" fillId="5" borderId="3" xfId="0" applyFont="1" applyFill="1" applyBorder="1" applyAlignment="1">
      <alignment horizontal="left" vertical="center"/>
    </xf>
    <xf numFmtId="0" fontId="13" fillId="5" borderId="20" xfId="0" applyFont="1" applyFill="1" applyBorder="1" applyAlignment="1">
      <alignment horizontal="left" vertical="center"/>
    </xf>
    <xf numFmtId="0" fontId="10" fillId="5" borderId="19" xfId="0" applyFont="1" applyFill="1" applyBorder="1" applyAlignment="1">
      <alignment horizontal="left" vertical="center"/>
    </xf>
    <xf numFmtId="49" fontId="8" fillId="5" borderId="10" xfId="0" applyNumberFormat="1" applyFont="1" applyFill="1" applyBorder="1" applyAlignment="1">
      <alignment vertical="center"/>
    </xf>
    <xf numFmtId="0" fontId="8" fillId="5" borderId="6" xfId="0" applyFont="1" applyFill="1" applyBorder="1" applyAlignment="1">
      <alignment vertical="center"/>
    </xf>
    <xf numFmtId="0" fontId="12" fillId="5" borderId="28" xfId="0" applyFont="1" applyFill="1" applyBorder="1" applyAlignment="1">
      <alignment vertical="center"/>
    </xf>
    <xf numFmtId="164" fontId="9" fillId="5" borderId="4" xfId="0" applyNumberFormat="1" applyFont="1" applyFill="1" applyBorder="1" applyAlignment="1">
      <alignment vertical="center"/>
    </xf>
    <xf numFmtId="0" fontId="16" fillId="3" borderId="33" xfId="0" applyFont="1" applyFill="1" applyBorder="1" applyAlignment="1">
      <alignment wrapText="1"/>
    </xf>
    <xf numFmtId="0" fontId="16" fillId="4" borderId="33" xfId="0" applyFont="1" applyFill="1" applyBorder="1" applyAlignment="1">
      <alignment wrapText="1"/>
    </xf>
    <xf numFmtId="0" fontId="16" fillId="6" borderId="33" xfId="0" applyFont="1" applyFill="1" applyBorder="1" applyAlignment="1">
      <alignment wrapText="1"/>
    </xf>
    <xf numFmtId="0" fontId="0" fillId="0" borderId="30" xfId="0" applyBorder="1" applyAlignment="1">
      <alignment vertical="center" wrapText="1"/>
    </xf>
    <xf numFmtId="0" fontId="0" fillId="0" borderId="0" xfId="0" applyAlignment="1">
      <alignment vertical="center" wrapText="1"/>
    </xf>
    <xf numFmtId="0" fontId="14" fillId="0" borderId="0" xfId="0" applyFont="1" applyAlignment="1">
      <alignment horizontal="center" vertical="center" wrapText="1"/>
    </xf>
    <xf numFmtId="0" fontId="14" fillId="0" borderId="34" xfId="0" applyFont="1" applyBorder="1" applyAlignment="1">
      <alignment horizontal="left" vertical="center"/>
    </xf>
    <xf numFmtId="0" fontId="0" fillId="0" borderId="31" xfId="0" applyBorder="1" applyAlignment="1">
      <alignment horizontal="right" vertical="center"/>
    </xf>
    <xf numFmtId="0" fontId="0" fillId="0" borderId="0" xfId="0" applyBorder="1" applyAlignment="1">
      <alignment horizontal="right"/>
    </xf>
    <xf numFmtId="0" fontId="0" fillId="0" borderId="32" xfId="0" applyBorder="1" applyAlignment="1">
      <alignment vertical="center" wrapText="1"/>
    </xf>
    <xf numFmtId="0" fontId="0" fillId="0" borderId="30" xfId="0" applyFont="1" applyBorder="1" applyAlignment="1">
      <alignment horizontal="left" vertical="top" wrapText="1"/>
    </xf>
    <xf numFmtId="0" fontId="15" fillId="0" borderId="0" xfId="1"/>
    <xf numFmtId="164" fontId="14" fillId="0" borderId="17" xfId="0" applyNumberFormat="1" applyFont="1" applyBorder="1" applyAlignment="1">
      <alignment horizontal="left" vertical="center"/>
    </xf>
    <xf numFmtId="164" fontId="0" fillId="0" borderId="0" xfId="0" applyNumberFormat="1" applyBorder="1"/>
    <xf numFmtId="0" fontId="14" fillId="0" borderId="29" xfId="0" applyFont="1" applyBorder="1" applyAlignment="1">
      <alignment horizontal="right" vertical="center" wrapText="1"/>
    </xf>
    <xf numFmtId="0" fontId="14" fillId="0" borderId="34" xfId="0" applyFont="1" applyBorder="1" applyAlignment="1">
      <alignment horizontal="center" vertical="center" wrapText="1"/>
    </xf>
    <xf numFmtId="0" fontId="14" fillId="0" borderId="34" xfId="0" applyFont="1" applyBorder="1" applyAlignment="1">
      <alignment horizontal="center" vertical="center"/>
    </xf>
    <xf numFmtId="165" fontId="0" fillId="0" borderId="30" xfId="0" applyNumberFormat="1" applyBorder="1" applyAlignment="1">
      <alignment vertical="center"/>
    </xf>
    <xf numFmtId="0" fontId="0" fillId="0" borderId="32" xfId="0" applyBorder="1" applyAlignment="1">
      <alignment horizontal="left" vertical="top" wrapText="1"/>
    </xf>
    <xf numFmtId="165" fontId="0" fillId="0" borderId="32" xfId="0" applyNumberFormat="1" applyBorder="1" applyAlignment="1">
      <alignment vertical="center"/>
    </xf>
    <xf numFmtId="0" fontId="4" fillId="0" borderId="0" xfId="0" applyFont="1" applyBorder="1" applyAlignment="1">
      <alignment vertical="center" wrapText="1"/>
    </xf>
    <xf numFmtId="0" fontId="4" fillId="0" borderId="1" xfId="0" applyFont="1" applyBorder="1" applyAlignment="1">
      <alignment vertical="center"/>
    </xf>
    <xf numFmtId="0" fontId="3" fillId="0" borderId="1" xfId="0" applyFont="1" applyFill="1" applyBorder="1" applyAlignment="1">
      <alignment vertical="center"/>
    </xf>
    <xf numFmtId="0" fontId="4" fillId="0" borderId="7" xfId="0" applyFont="1" applyBorder="1" applyAlignment="1">
      <alignment vertical="center"/>
    </xf>
    <xf numFmtId="0" fontId="18" fillId="5" borderId="35" xfId="0" applyFont="1" applyFill="1" applyBorder="1" applyAlignment="1">
      <alignment horizontal="left"/>
    </xf>
    <xf numFmtId="0" fontId="3" fillId="0" borderId="20" xfId="0" applyFont="1" applyBorder="1" applyAlignment="1"/>
    <xf numFmtId="0" fontId="3" fillId="0" borderId="17" xfId="0" applyFont="1" applyBorder="1" applyAlignment="1"/>
    <xf numFmtId="0" fontId="3" fillId="0" borderId="0" xfId="0" applyFont="1" applyBorder="1" applyAlignment="1"/>
    <xf numFmtId="0" fontId="6" fillId="0" borderId="0" xfId="0" applyFont="1" applyBorder="1" applyAlignment="1">
      <alignment horizontal="left"/>
      <extLst>
        <ext xmlns:xfpb="http://schemas.microsoft.com/office/spreadsheetml/2022/featurepropertybag" uri="{C7286773-470A-42A8-94C5-96B5CB345126}">
          <xfpb:xfComplement i="0"/>
        </ext>
      </extLst>
    </xf>
    <xf numFmtId="0" fontId="6" fillId="0" borderId="0" xfId="0" applyFont="1" applyBorder="1" applyAlignment="1">
      <alignment horizontal="left"/>
    </xf>
    <xf numFmtId="0" fontId="6" fillId="0" borderId="18" xfId="0" applyFont="1" applyBorder="1" applyAlignment="1">
      <alignment horizontal="left"/>
    </xf>
    <xf numFmtId="0" fontId="18" fillId="5" borderId="25" xfId="0" applyFont="1" applyFill="1" applyBorder="1" applyAlignment="1">
      <alignment horizontal="left"/>
    </xf>
    <xf numFmtId="0" fontId="18" fillId="5" borderId="3" xfId="0" applyFont="1" applyFill="1" applyBorder="1" applyAlignment="1">
      <alignment horizontal="left"/>
    </xf>
    <xf numFmtId="0" fontId="5" fillId="2" borderId="7" xfId="0" applyFont="1" applyFill="1" applyBorder="1" applyAlignment="1">
      <alignment horizontal="center" vertical="center"/>
    </xf>
    <xf numFmtId="0" fontId="5" fillId="2" borderId="7" xfId="0" applyFont="1" applyFill="1" applyBorder="1" applyAlignment="1">
      <alignment horizontal="center" wrapText="1"/>
    </xf>
    <xf numFmtId="0" fontId="5" fillId="2" borderId="24" xfId="0" applyFont="1" applyFill="1" applyBorder="1" applyAlignment="1">
      <alignment horizontal="left"/>
    </xf>
    <xf numFmtId="0" fontId="6" fillId="0" borderId="10" xfId="0" applyFont="1" applyBorder="1" applyAlignment="1">
      <alignment horizontal="center"/>
    </xf>
    <xf numFmtId="0" fontId="6" fillId="0" borderId="26" xfId="0" applyFont="1" applyBorder="1" applyAlignment="1">
      <alignment horizontal="left"/>
    </xf>
    <xf numFmtId="0" fontId="6" fillId="0" borderId="7" xfId="0" applyFont="1" applyBorder="1" applyAlignment="1">
      <alignment horizontal="center"/>
    </xf>
    <xf numFmtId="0" fontId="6" fillId="0" borderId="24" xfId="0" applyFont="1" applyBorder="1" applyAlignment="1">
      <alignment horizontal="left"/>
    </xf>
    <xf numFmtId="0" fontId="6" fillId="0" borderId="11" xfId="0" applyFont="1" applyBorder="1" applyAlignment="1">
      <alignment horizontal="center"/>
    </xf>
    <xf numFmtId="0" fontId="10" fillId="5" borderId="2" xfId="0" applyFont="1" applyFill="1" applyBorder="1" applyAlignment="1">
      <alignment horizontal="center"/>
    </xf>
    <xf numFmtId="0" fontId="6" fillId="0" borderId="24" xfId="0" applyFont="1" applyBorder="1"/>
    <xf numFmtId="0" fontId="6" fillId="5" borderId="24" xfId="0" applyFont="1" applyFill="1" applyBorder="1"/>
    <xf numFmtId="0" fontId="18" fillId="5" borderId="7" xfId="0" applyFont="1" applyFill="1" applyBorder="1" applyAlignment="1">
      <alignment wrapText="1"/>
    </xf>
    <xf numFmtId="0" fontId="4" fillId="0" borderId="7" xfId="0" applyFont="1" applyBorder="1" applyAlignment="1">
      <alignment horizontal="left" vertical="center"/>
      <extLst>
        <ext xmlns:xfpb="http://schemas.microsoft.com/office/spreadsheetml/2022/featurepropertybag" uri="{C7286773-470A-42A8-94C5-96B5CB345126}">
          <xfpb:xfComplement i="0"/>
        </ext>
      </extLst>
    </xf>
    <xf numFmtId="0" fontId="5" fillId="2" borderId="30" xfId="0" applyFont="1" applyFill="1" applyBorder="1" applyAlignment="1">
      <alignment horizontal="center"/>
    </xf>
    <xf numFmtId="0" fontId="6" fillId="0" borderId="22" xfId="0" applyFont="1" applyBorder="1"/>
    <xf numFmtId="0" fontId="6" fillId="0" borderId="27" xfId="0" applyFont="1" applyBorder="1"/>
    <xf numFmtId="0" fontId="9" fillId="5" borderId="36" xfId="0" applyFont="1" applyFill="1" applyBorder="1"/>
    <xf numFmtId="0" fontId="9" fillId="5" borderId="13" xfId="0" applyFont="1" applyFill="1" applyBorder="1"/>
    <xf numFmtId="0" fontId="9" fillId="5" borderId="37" xfId="0" applyFont="1" applyFill="1" applyBorder="1"/>
    <xf numFmtId="0" fontId="5" fillId="0" borderId="2" xfId="0" applyFont="1" applyBorder="1" applyAlignment="1">
      <alignment horizontal="center" vertical="center"/>
    </xf>
    <xf numFmtId="0" fontId="5" fillId="0" borderId="24" xfId="0" applyFont="1" applyBorder="1" applyAlignment="1">
      <alignment horizontal="center" vertical="center"/>
    </xf>
    <xf numFmtId="0" fontId="6" fillId="0" borderId="2" xfId="0" applyFont="1" applyBorder="1" applyAlignment="1">
      <alignment horizontal="center" vertical="center"/>
    </xf>
    <xf numFmtId="164" fontId="6" fillId="0" borderId="24" xfId="0" applyNumberFormat="1" applyFont="1" applyBorder="1" applyAlignment="1">
      <alignment horizontal="center" vertical="center"/>
    </xf>
    <xf numFmtId="164" fontId="6" fillId="0" borderId="4" xfId="0" applyNumberFormat="1" applyFont="1" applyBorder="1" applyAlignment="1">
      <alignment horizontal="center" vertical="center"/>
    </xf>
    <xf numFmtId="0" fontId="9" fillId="5" borderId="7" xfId="0" applyFont="1" applyFill="1" applyBorder="1" applyAlignment="1">
      <alignment horizontal="right" vertical="center"/>
    </xf>
    <xf numFmtId="164" fontId="9" fillId="5" borderId="27" xfId="0" applyNumberFormat="1" applyFont="1" applyFill="1" applyBorder="1" applyAlignment="1">
      <alignment vertical="center"/>
    </xf>
    <xf numFmtId="0" fontId="5" fillId="0" borderId="23" xfId="0" applyFont="1" applyBorder="1"/>
    <xf numFmtId="0" fontId="5" fillId="0" borderId="1" xfId="0" applyFont="1" applyBorder="1" applyAlignment="1">
      <alignment horizontal="center"/>
    </xf>
    <xf numFmtId="0" fontId="5" fillId="0" borderId="7" xfId="0" applyFont="1" applyBorder="1"/>
    <xf numFmtId="0" fontId="7" fillId="0" borderId="7" xfId="0" applyFont="1" applyBorder="1"/>
    <xf numFmtId="0" fontId="7" fillId="0" borderId="11" xfId="0" applyFont="1" applyBorder="1"/>
    <xf numFmtId="0" fontId="7" fillId="0" borderId="24" xfId="0" applyFont="1" applyBorder="1"/>
    <xf numFmtId="0" fontId="6" fillId="0" borderId="23" xfId="0" applyFont="1" applyBorder="1"/>
    <xf numFmtId="164" fontId="6" fillId="0" borderId="7" xfId="0" applyNumberFormat="1" applyFont="1" applyBorder="1" applyAlignment="1">
      <alignment horizontal="center"/>
    </xf>
    <xf numFmtId="0" fontId="6" fillId="0" borderId="10" xfId="0" applyNumberFormat="1" applyFont="1" applyBorder="1" applyAlignment="1">
      <alignment horizontal="left"/>
    </xf>
    <xf numFmtId="164" fontId="6" fillId="0" borderId="4" xfId="0" applyNumberFormat="1" applyFont="1" applyBorder="1"/>
    <xf numFmtId="164" fontId="6" fillId="0" borderId="7" xfId="0" applyNumberFormat="1" applyFont="1" applyBorder="1"/>
    <xf numFmtId="164" fontId="6" fillId="0" borderId="22" xfId="0" applyNumberFormat="1" applyFont="1" applyBorder="1"/>
    <xf numFmtId="2" fontId="1" fillId="0" borderId="0" xfId="0" applyNumberFormat="1" applyFont="1" applyBorder="1"/>
    <xf numFmtId="0" fontId="6" fillId="0" borderId="35" xfId="0" applyFont="1" applyBorder="1"/>
    <xf numFmtId="164" fontId="6" fillId="0" borderId="11" xfId="0" applyNumberFormat="1" applyFont="1" applyBorder="1" applyAlignment="1">
      <alignment horizontal="center"/>
    </xf>
    <xf numFmtId="0" fontId="6" fillId="0" borderId="13" xfId="0" applyNumberFormat="1" applyFont="1" applyBorder="1" applyAlignment="1">
      <alignment horizontal="left"/>
    </xf>
    <xf numFmtId="164" fontId="6" fillId="0" borderId="12" xfId="0" applyNumberFormat="1" applyFont="1" applyBorder="1"/>
    <xf numFmtId="164" fontId="6" fillId="0" borderId="11" xfId="0" applyNumberFormat="1" applyFont="1" applyBorder="1"/>
    <xf numFmtId="164" fontId="6" fillId="0" borderId="18" xfId="0" applyNumberFormat="1" applyFont="1" applyBorder="1"/>
    <xf numFmtId="0" fontId="6" fillId="0" borderId="30" xfId="0" applyFont="1" applyBorder="1"/>
    <xf numFmtId="164" fontId="6" fillId="0" borderId="30" xfId="0" applyNumberFormat="1" applyFont="1" applyBorder="1" applyAlignment="1">
      <alignment horizontal="center"/>
    </xf>
    <xf numFmtId="0" fontId="6" fillId="0" borderId="30" xfId="0" applyNumberFormat="1" applyFont="1" applyBorder="1" applyAlignment="1">
      <alignment horizontal="left"/>
    </xf>
    <xf numFmtId="164" fontId="6" fillId="0" borderId="30" xfId="0" applyNumberFormat="1" applyFont="1" applyBorder="1"/>
    <xf numFmtId="0" fontId="9" fillId="5" borderId="30" xfId="0" applyFont="1" applyFill="1" applyBorder="1"/>
    <xf numFmtId="49" fontId="9" fillId="5" borderId="30" xfId="0" applyNumberFormat="1" applyFont="1" applyFill="1" applyBorder="1"/>
    <xf numFmtId="164" fontId="9" fillId="5" borderId="30" xfId="0" applyNumberFormat="1" applyFont="1" applyFill="1" applyBorder="1"/>
    <xf numFmtId="0" fontId="9" fillId="0" borderId="0" xfId="0" applyFont="1" applyFill="1" applyBorder="1"/>
    <xf numFmtId="0" fontId="4" fillId="0" borderId="20" xfId="0" applyFont="1" applyBorder="1" applyAlignment="1">
      <alignment vertical="top" wrapText="1"/>
    </xf>
    <xf numFmtId="0" fontId="4" fillId="0" borderId="3" xfId="0" applyFont="1" applyBorder="1" applyAlignment="1">
      <alignment vertical="top" wrapText="1"/>
    </xf>
    <xf numFmtId="0" fontId="4" fillId="0" borderId="19" xfId="0" applyFont="1" applyBorder="1" applyAlignment="1">
      <alignment vertical="top" wrapText="1"/>
    </xf>
    <xf numFmtId="0" fontId="4" fillId="0" borderId="17" xfId="0" applyFont="1" applyBorder="1" applyAlignment="1">
      <alignment vertical="top" wrapText="1"/>
    </xf>
    <xf numFmtId="0" fontId="4" fillId="0" borderId="0" xfId="0" applyFont="1" applyBorder="1" applyAlignment="1">
      <alignment vertical="top" wrapText="1"/>
    </xf>
    <xf numFmtId="0" fontId="4" fillId="0" borderId="18" xfId="0" applyFont="1" applyBorder="1" applyAlignment="1">
      <alignment vertical="top" wrapText="1"/>
    </xf>
    <xf numFmtId="0" fontId="4" fillId="0" borderId="21" xfId="0" applyFont="1" applyBorder="1" applyAlignment="1">
      <alignment vertical="top" wrapText="1"/>
    </xf>
    <xf numFmtId="0" fontId="4" fillId="0" borderId="5" xfId="0" applyFont="1" applyBorder="1" applyAlignment="1">
      <alignment vertical="top" wrapText="1"/>
    </xf>
    <xf numFmtId="0" fontId="4" fillId="0" borderId="22" xfId="0" applyFont="1" applyBorder="1" applyAlignment="1">
      <alignment vertical="top" wrapText="1"/>
    </xf>
    <xf numFmtId="0" fontId="18" fillId="5" borderId="14" xfId="0" applyFont="1" applyFill="1" applyBorder="1" applyAlignment="1">
      <alignment horizontal="left" vertical="center"/>
    </xf>
    <xf numFmtId="0" fontId="18" fillId="5" borderId="15" xfId="0" applyFont="1" applyFill="1" applyBorder="1" applyAlignment="1">
      <alignment horizontal="left" vertical="center"/>
    </xf>
    <xf numFmtId="0" fontId="18" fillId="5" borderId="16" xfId="0" applyFont="1" applyFill="1" applyBorder="1" applyAlignment="1">
      <alignment horizontal="left" vertical="center"/>
    </xf>
    <xf numFmtId="0" fontId="2" fillId="0" borderId="17" xfId="0" applyFont="1" applyBorder="1" applyAlignment="1">
      <alignment horizontal="left" vertical="center" wrapText="1"/>
    </xf>
    <xf numFmtId="0" fontId="2" fillId="0" borderId="0" xfId="0" applyFont="1" applyBorder="1" applyAlignment="1">
      <alignment horizontal="left" vertical="center" wrapText="1"/>
    </xf>
    <xf numFmtId="0" fontId="2" fillId="0" borderId="18" xfId="0" applyFont="1" applyBorder="1" applyAlignment="1">
      <alignment horizontal="left" vertical="center" wrapText="1"/>
    </xf>
    <xf numFmtId="0" fontId="18" fillId="5" borderId="9" xfId="0" applyFont="1" applyFill="1" applyBorder="1" applyAlignment="1">
      <alignment horizontal="center"/>
    </xf>
    <xf numFmtId="0" fontId="18" fillId="5" borderId="3" xfId="0" applyFont="1" applyFill="1" applyBorder="1" applyAlignment="1">
      <alignment horizontal="center"/>
    </xf>
    <xf numFmtId="0" fontId="18" fillId="5" borderId="19" xfId="0" applyFont="1" applyFill="1" applyBorder="1" applyAlignment="1">
      <alignment horizontal="center"/>
    </xf>
    <xf numFmtId="0" fontId="4" fillId="0" borderId="0" xfId="0" applyFont="1" applyBorder="1" applyAlignment="1">
      <alignment horizontal="left" vertical="center"/>
    </xf>
    <xf numFmtId="0" fontId="4" fillId="0" borderId="18" xfId="0" applyFont="1" applyBorder="1" applyAlignment="1">
      <alignment horizontal="left" vertical="center"/>
    </xf>
    <xf numFmtId="0" fontId="4" fillId="0" borderId="0" xfId="0" applyFont="1" applyBorder="1" applyAlignment="1">
      <alignment horizontal="left"/>
    </xf>
    <xf numFmtId="0" fontId="4" fillId="0" borderId="18" xfId="0" applyFont="1" applyBorder="1" applyAlignment="1">
      <alignment horizontal="left"/>
    </xf>
    <xf numFmtId="15" fontId="4" fillId="0" borderId="0" xfId="0" applyNumberFormat="1" applyFont="1" applyBorder="1" applyAlignment="1">
      <alignment horizontal="center" vertical="center"/>
    </xf>
    <xf numFmtId="0" fontId="4" fillId="0" borderId="0" xfId="0" applyFont="1" applyBorder="1" applyAlignment="1">
      <alignment horizontal="center" vertical="center"/>
    </xf>
    <xf numFmtId="0" fontId="4" fillId="0" borderId="18" xfId="0" applyFont="1" applyBorder="1" applyAlignment="1">
      <alignment horizontal="center" vertical="center"/>
    </xf>
    <xf numFmtId="0" fontId="6" fillId="0" borderId="0" xfId="0" applyFont="1" applyBorder="1" applyAlignment="1">
      <alignment horizontal="left" vertical="center"/>
    </xf>
    <xf numFmtId="0" fontId="6" fillId="0" borderId="18" xfId="0" applyFont="1" applyBorder="1" applyAlignment="1">
      <alignment horizontal="left" vertical="center"/>
    </xf>
    <xf numFmtId="164" fontId="4" fillId="0" borderId="0" xfId="0" applyNumberFormat="1" applyFont="1" applyBorder="1" applyAlignment="1">
      <alignment horizontal="left"/>
    </xf>
    <xf numFmtId="0" fontId="7" fillId="0" borderId="0" xfId="0" applyFont="1" applyBorder="1" applyAlignment="1">
      <alignment horizontal="left"/>
    </xf>
    <xf numFmtId="0" fontId="6" fillId="0" borderId="21" xfId="0" applyFont="1" applyBorder="1" applyAlignment="1">
      <alignment horizontal="center"/>
    </xf>
    <xf numFmtId="0" fontId="6" fillId="0" borderId="5" xfId="0" applyFont="1" applyBorder="1" applyAlignment="1">
      <alignment horizontal="center"/>
    </xf>
    <xf numFmtId="0" fontId="6" fillId="0" borderId="22" xfId="0" applyFont="1" applyBorder="1" applyAlignment="1">
      <alignment horizontal="center"/>
    </xf>
    <xf numFmtId="0" fontId="18" fillId="5" borderId="21" xfId="0" applyFont="1" applyFill="1" applyBorder="1" applyAlignment="1">
      <alignment horizontal="left" wrapText="1"/>
    </xf>
    <xf numFmtId="0" fontId="18" fillId="5" borderId="5" xfId="0" applyFont="1" applyFill="1" applyBorder="1" applyAlignment="1">
      <alignment horizontal="left" wrapText="1"/>
    </xf>
    <xf numFmtId="0" fontId="18" fillId="5" borderId="22" xfId="0" applyFont="1" applyFill="1" applyBorder="1" applyAlignment="1">
      <alignment horizontal="left" wrapText="1"/>
    </xf>
    <xf numFmtId="0" fontId="18" fillId="5" borderId="8" xfId="0" applyFont="1" applyFill="1" applyBorder="1" applyAlignment="1">
      <alignment horizontal="left"/>
    </xf>
    <xf numFmtId="0" fontId="18" fillId="5" borderId="3" xfId="0" applyFont="1" applyFill="1" applyBorder="1" applyAlignment="1">
      <alignment horizontal="left"/>
    </xf>
    <xf numFmtId="0" fontId="18" fillId="5" borderId="19" xfId="0" applyFont="1" applyFill="1" applyBorder="1" applyAlignment="1">
      <alignment horizontal="left"/>
    </xf>
    <xf numFmtId="0" fontId="5" fillId="2" borderId="1" xfId="0" applyFont="1" applyFill="1" applyBorder="1" applyAlignment="1"/>
    <xf numFmtId="0" fontId="5" fillId="2" borderId="2" xfId="0" applyFont="1" applyFill="1" applyBorder="1" applyAlignment="1"/>
    <xf numFmtId="0" fontId="6" fillId="0" borderId="1" xfId="0" applyFont="1" applyBorder="1" applyAlignment="1"/>
    <xf numFmtId="0" fontId="6" fillId="0" borderId="2" xfId="0" applyFont="1" applyBorder="1" applyAlignment="1"/>
    <xf numFmtId="0" fontId="6" fillId="0" borderId="11"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 xfId="0" applyFont="1" applyBorder="1" applyAlignment="1">
      <alignment horizontal="left"/>
    </xf>
    <xf numFmtId="0" fontId="6" fillId="0" borderId="2" xfId="0" applyFont="1" applyBorder="1" applyAlignment="1">
      <alignment horizontal="left"/>
    </xf>
    <xf numFmtId="0" fontId="9" fillId="5" borderId="1" xfId="0" applyFont="1" applyFill="1" applyBorder="1" applyAlignment="1">
      <alignment horizontal="right"/>
    </xf>
    <xf numFmtId="0" fontId="9" fillId="5" borderId="2" xfId="0" applyFont="1" applyFill="1" applyBorder="1" applyAlignment="1">
      <alignment horizontal="right"/>
    </xf>
    <xf numFmtId="0" fontId="19" fillId="2" borderId="23" xfId="0" applyFont="1" applyFill="1" applyBorder="1" applyAlignment="1">
      <alignment horizontal="center" vertical="center"/>
    </xf>
    <xf numFmtId="0" fontId="3" fillId="0" borderId="1" xfId="0" applyFont="1" applyFill="1" applyBorder="1" applyAlignment="1">
      <alignment vertical="center"/>
    </xf>
    <xf numFmtId="0" fontId="3" fillId="0" borderId="8" xfId="0" applyFont="1" applyFill="1" applyBorder="1" applyAlignment="1">
      <alignment vertical="center"/>
    </xf>
    <xf numFmtId="0" fontId="3" fillId="0" borderId="27" xfId="0" applyFont="1" applyFill="1" applyBorder="1" applyAlignment="1">
      <alignment vertical="center"/>
    </xf>
    <xf numFmtId="0" fontId="11" fillId="0" borderId="38" xfId="0" applyFont="1" applyBorder="1" applyAlignment="1">
      <alignment horizontal="left" vertical="top" wrapText="1"/>
    </xf>
    <xf numFmtId="0" fontId="11" fillId="0" borderId="39" xfId="0" applyFont="1" applyBorder="1" applyAlignment="1">
      <alignment horizontal="left" vertical="top" wrapText="1"/>
    </xf>
    <xf numFmtId="0" fontId="11" fillId="0" borderId="40" xfId="0" applyFont="1" applyBorder="1" applyAlignment="1">
      <alignment horizontal="left" vertical="top" wrapText="1"/>
    </xf>
    <xf numFmtId="0" fontId="11" fillId="0" borderId="17" xfId="0" applyFont="1" applyBorder="1" applyAlignment="1">
      <alignment horizontal="left" vertical="top" wrapText="1"/>
    </xf>
    <xf numFmtId="0" fontId="11" fillId="0" borderId="0" xfId="0" applyFont="1" applyBorder="1" applyAlignment="1">
      <alignment horizontal="left" vertical="top" wrapText="1"/>
    </xf>
    <xf numFmtId="0" fontId="11" fillId="0" borderId="18" xfId="0" applyFont="1" applyBorder="1" applyAlignment="1">
      <alignment horizontal="left" vertical="top" wrapText="1"/>
    </xf>
    <xf numFmtId="0" fontId="11" fillId="0" borderId="41" xfId="0" applyFont="1" applyBorder="1" applyAlignment="1">
      <alignment horizontal="left" vertical="top" wrapText="1"/>
    </xf>
    <xf numFmtId="0" fontId="11" fillId="0" borderId="42" xfId="0" applyFont="1" applyBorder="1" applyAlignment="1">
      <alignment horizontal="left" vertical="top" wrapText="1"/>
    </xf>
    <xf numFmtId="0" fontId="11" fillId="0" borderId="29" xfId="0" applyFont="1" applyBorder="1" applyAlignment="1">
      <alignment horizontal="left" vertical="top" wrapText="1"/>
    </xf>
    <xf numFmtId="0" fontId="5" fillId="2" borderId="30" xfId="0" applyFont="1" applyFill="1" applyBorder="1" applyAlignment="1">
      <alignment horizontal="center"/>
    </xf>
    <xf numFmtId="0" fontId="6" fillId="0" borderId="30" xfId="0" applyFont="1" applyBorder="1" applyAlignment="1"/>
    <xf numFmtId="0" fontId="9" fillId="5" borderId="4" xfId="0" applyFont="1" applyFill="1" applyBorder="1" applyAlignment="1">
      <alignment horizontal="right" wrapText="1"/>
    </xf>
    <xf numFmtId="0" fontId="9" fillId="5" borderId="5" xfId="0" applyFont="1" applyFill="1" applyBorder="1" applyAlignment="1">
      <alignment horizontal="right" wrapText="1"/>
    </xf>
    <xf numFmtId="0" fontId="9" fillId="5" borderId="6" xfId="0" applyFont="1" applyFill="1" applyBorder="1" applyAlignment="1">
      <alignment horizontal="right" wrapText="1"/>
    </xf>
    <xf numFmtId="0" fontId="9" fillId="0" borderId="21" xfId="0" applyFont="1" applyFill="1" applyBorder="1" applyAlignment="1">
      <alignment horizontal="center"/>
    </xf>
    <xf numFmtId="0" fontId="9" fillId="0" borderId="5" xfId="0" applyFont="1" applyFill="1" applyBorder="1" applyAlignment="1">
      <alignment horizontal="center"/>
    </xf>
    <xf numFmtId="0" fontId="9" fillId="0" borderId="22" xfId="0" applyFont="1" applyFill="1" applyBorder="1" applyAlignment="1">
      <alignment horizontal="center"/>
    </xf>
    <xf numFmtId="0" fontId="6" fillId="0" borderId="25" xfId="0" applyFont="1" applyFill="1" applyBorder="1" applyAlignment="1">
      <alignment horizontal="center"/>
    </xf>
    <xf numFmtId="0" fontId="6" fillId="0" borderId="8" xfId="0" applyFont="1" applyFill="1" applyBorder="1" applyAlignment="1">
      <alignment horizontal="center"/>
    </xf>
    <xf numFmtId="0" fontId="6" fillId="0" borderId="27" xfId="0" applyFont="1" applyFill="1" applyBorder="1" applyAlignment="1">
      <alignment horizontal="center"/>
    </xf>
    <xf numFmtId="0" fontId="19" fillId="2" borderId="35" xfId="0" applyFont="1" applyFill="1" applyBorder="1" applyAlignment="1">
      <alignment horizontal="center" vertical="center"/>
    </xf>
    <xf numFmtId="0" fontId="19" fillId="2" borderId="36" xfId="0" applyFont="1" applyFill="1" applyBorder="1" applyAlignment="1">
      <alignment horizontal="center" vertical="center"/>
    </xf>
    <xf numFmtId="0" fontId="19" fillId="2" borderId="28" xfId="0" applyFont="1" applyFill="1" applyBorder="1" applyAlignment="1">
      <alignment horizontal="center" vertical="center"/>
    </xf>
    <xf numFmtId="0" fontId="18" fillId="5" borderId="20" xfId="0" applyFont="1" applyFill="1" applyBorder="1" applyAlignment="1">
      <alignment vertical="center" wrapText="1"/>
    </xf>
    <xf numFmtId="0" fontId="18" fillId="5" borderId="3" xfId="0" applyFont="1" applyFill="1" applyBorder="1" applyAlignment="1">
      <alignment vertical="center" wrapText="1"/>
    </xf>
    <xf numFmtId="0" fontId="18" fillId="5" borderId="19" xfId="0" applyFont="1" applyFill="1" applyBorder="1" applyAlignment="1">
      <alignment vertical="center" wrapText="1"/>
    </xf>
    <xf numFmtId="0" fontId="20" fillId="0" borderId="21" xfId="0" applyFont="1" applyFill="1" applyBorder="1" applyAlignment="1">
      <alignment horizontal="center" vertical="center" wrapText="1"/>
    </xf>
    <xf numFmtId="0" fontId="20" fillId="0" borderId="5" xfId="0" applyFont="1" applyFill="1" applyBorder="1" applyAlignment="1">
      <alignment horizontal="center" vertical="center" wrapText="1"/>
    </xf>
    <xf numFmtId="0" fontId="20" fillId="0" borderId="22" xfId="0" applyFont="1" applyFill="1" applyBorder="1" applyAlignment="1">
      <alignment horizontal="center" vertical="center" wrapText="1"/>
    </xf>
    <xf numFmtId="0" fontId="4" fillId="0" borderId="1" xfId="0" applyFont="1" applyBorder="1" applyAlignment="1">
      <alignment vertical="center"/>
    </xf>
    <xf numFmtId="0" fontId="4" fillId="0" borderId="8" xfId="0" applyFont="1" applyBorder="1" applyAlignment="1">
      <alignment vertical="center"/>
    </xf>
    <xf numFmtId="0" fontId="4" fillId="0" borderId="27" xfId="0" applyFont="1" applyBorder="1" applyAlignment="1">
      <alignment vertical="center"/>
    </xf>
    <xf numFmtId="0" fontId="6" fillId="0" borderId="25" xfId="0" applyFont="1" applyBorder="1" applyAlignment="1">
      <alignment horizontal="center" vertical="center"/>
    </xf>
    <xf numFmtId="0" fontId="6" fillId="0" borderId="8" xfId="0" applyFont="1" applyBorder="1" applyAlignment="1">
      <alignment horizontal="center" vertical="center"/>
    </xf>
    <xf numFmtId="0" fontId="6" fillId="0" borderId="27" xfId="0" applyFont="1" applyBorder="1" applyAlignment="1">
      <alignment horizontal="center" vertical="center"/>
    </xf>
    <xf numFmtId="0" fontId="18" fillId="5" borderId="3" xfId="0" applyFont="1" applyFill="1" applyBorder="1" applyAlignment="1">
      <alignment vertical="center"/>
    </xf>
    <xf numFmtId="0" fontId="18" fillId="5" borderId="19" xfId="0" applyFont="1" applyFill="1" applyBorder="1" applyAlignment="1">
      <alignment vertical="center"/>
    </xf>
    <xf numFmtId="0" fontId="8" fillId="0" borderId="25" xfId="0" applyFont="1" applyFill="1" applyBorder="1" applyAlignment="1">
      <alignment horizontal="center" vertical="center"/>
    </xf>
    <xf numFmtId="0" fontId="8" fillId="0" borderId="8" xfId="0" applyFont="1" applyFill="1" applyBorder="1" applyAlignment="1">
      <alignment horizontal="center" vertical="center"/>
    </xf>
    <xf numFmtId="0" fontId="8" fillId="0" borderId="27" xfId="0" applyFont="1" applyFill="1" applyBorder="1" applyAlignment="1">
      <alignment horizontal="center" vertical="center"/>
    </xf>
    <xf numFmtId="0" fontId="18" fillId="5" borderId="25" xfId="0" applyFont="1" applyFill="1" applyBorder="1" applyAlignment="1">
      <alignment horizontal="left"/>
    </xf>
    <xf numFmtId="0" fontId="4" fillId="0" borderId="9" xfId="0" applyFont="1" applyFill="1" applyBorder="1" applyAlignment="1">
      <alignment horizontal="left" vertical="top" wrapText="1"/>
    </xf>
    <xf numFmtId="0" fontId="4" fillId="0" borderId="3" xfId="0" applyFont="1" applyFill="1" applyBorder="1" applyAlignment="1">
      <alignment horizontal="left" vertical="top"/>
    </xf>
    <xf numFmtId="0" fontId="4" fillId="0" borderId="19" xfId="0" applyFont="1" applyFill="1" applyBorder="1" applyAlignment="1">
      <alignment horizontal="left" vertical="top"/>
    </xf>
    <xf numFmtId="0" fontId="4" fillId="0" borderId="12" xfId="0" applyFont="1" applyFill="1" applyBorder="1" applyAlignment="1">
      <alignment horizontal="left" vertical="top"/>
    </xf>
    <xf numFmtId="0" fontId="4" fillId="0" borderId="0" xfId="0" applyFont="1" applyFill="1" applyBorder="1" applyAlignment="1">
      <alignment horizontal="left" vertical="top"/>
    </xf>
    <xf numFmtId="0" fontId="4" fillId="0" borderId="18" xfId="0" applyFont="1" applyFill="1" applyBorder="1" applyAlignment="1">
      <alignment horizontal="left" vertical="top"/>
    </xf>
    <xf numFmtId="0" fontId="4" fillId="0" borderId="4" xfId="0" applyFont="1" applyFill="1" applyBorder="1" applyAlignment="1">
      <alignment horizontal="left" vertical="top"/>
    </xf>
    <xf numFmtId="0" fontId="4" fillId="0" borderId="5" xfId="0" applyFont="1" applyFill="1" applyBorder="1" applyAlignment="1">
      <alignment horizontal="left" vertical="top"/>
    </xf>
    <xf numFmtId="0" fontId="4" fillId="0" borderId="22" xfId="0" applyFont="1" applyFill="1" applyBorder="1" applyAlignment="1">
      <alignment horizontal="left" vertical="top"/>
    </xf>
    <xf numFmtId="0" fontId="17" fillId="5" borderId="30" xfId="0" applyFont="1" applyFill="1" applyBorder="1" applyAlignment="1">
      <alignment horizontal="left" vertical="center"/>
    </xf>
    <xf numFmtId="165" fontId="17" fillId="5" borderId="30" xfId="0" applyNumberFormat="1" applyFont="1" applyFill="1" applyBorder="1" applyAlignment="1">
      <alignment horizontal="center" vertical="center"/>
    </xf>
    <xf numFmtId="0" fontId="9" fillId="5" borderId="32" xfId="0" applyFont="1" applyFill="1" applyBorder="1" applyAlignment="1">
      <alignment horizontal="left" vertical="center" wrapText="1"/>
    </xf>
  </cellXfs>
  <cellStyles count="2">
    <cellStyle name="Hyperlink" xfId="1" builtinId="8"/>
    <cellStyle name="Normal" xfId="0" builtinId="0"/>
  </cellStyles>
  <dxfs count="12">
    <dxf>
      <numFmt numFmtId="165" formatCode="[$€-2]\ #,##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colors>
    <mruColors>
      <color rgb="FF1D4ED8"/>
      <color rgb="FFD6EA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22/11/relationships/FeaturePropertyBag" Target="featurePropertyBag/featurePropertyBag.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523875</xdr:colOff>
          <xdr:row>42</xdr:row>
          <xdr:rowOff>219075</xdr:rowOff>
        </xdr:from>
        <xdr:to>
          <xdr:col>2</xdr:col>
          <xdr:colOff>66675</xdr:colOff>
          <xdr:row>44</xdr:row>
          <xdr:rowOff>38100</xdr:rowOff>
        </xdr:to>
        <xdr:sp macro="" textlink="">
          <xdr:nvSpPr>
            <xdr:cNvPr id="10241" name="Check Box 1" hidden="1">
              <a:extLst>
                <a:ext uri="{63B3BB69-23CF-44E3-9099-C40C66FF867C}">
                  <a14:compatExt spid="_x0000_s1024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523875</xdr:colOff>
          <xdr:row>43</xdr:row>
          <xdr:rowOff>142875</xdr:rowOff>
        </xdr:from>
        <xdr:to>
          <xdr:col>2</xdr:col>
          <xdr:colOff>57150</xdr:colOff>
          <xdr:row>45</xdr:row>
          <xdr:rowOff>0</xdr:rowOff>
        </xdr:to>
        <xdr:sp macro="" textlink="">
          <xdr:nvSpPr>
            <xdr:cNvPr id="10242" name="Check Box 2" hidden="1">
              <a:extLst>
                <a:ext uri="{63B3BB69-23CF-44E3-9099-C40C66FF867C}">
                  <a14:compatExt spid="_x0000_s1024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523875</xdr:colOff>
          <xdr:row>45</xdr:row>
          <xdr:rowOff>171450</xdr:rowOff>
        </xdr:from>
        <xdr:to>
          <xdr:col>2</xdr:col>
          <xdr:colOff>66675</xdr:colOff>
          <xdr:row>47</xdr:row>
          <xdr:rowOff>9525</xdr:rowOff>
        </xdr:to>
        <xdr:sp macro="" textlink="">
          <xdr:nvSpPr>
            <xdr:cNvPr id="10243" name="Check Box 3" hidden="1">
              <a:extLst>
                <a:ext uri="{63B3BB69-23CF-44E3-9099-C40C66FF867C}">
                  <a14:compatExt spid="_x0000_s1024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523875</xdr:colOff>
          <xdr:row>46</xdr:row>
          <xdr:rowOff>152400</xdr:rowOff>
        </xdr:from>
        <xdr:to>
          <xdr:col>2</xdr:col>
          <xdr:colOff>57150</xdr:colOff>
          <xdr:row>48</xdr:row>
          <xdr:rowOff>0</xdr:rowOff>
        </xdr:to>
        <xdr:sp macro="" textlink="">
          <xdr:nvSpPr>
            <xdr:cNvPr id="10244" name="Check Box 4" hidden="1">
              <a:extLst>
                <a:ext uri="{63B3BB69-23CF-44E3-9099-C40C66FF867C}">
                  <a14:compatExt spid="_x0000_s1024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523875</xdr:colOff>
          <xdr:row>47</xdr:row>
          <xdr:rowOff>171450</xdr:rowOff>
        </xdr:from>
        <xdr:to>
          <xdr:col>2</xdr:col>
          <xdr:colOff>57150</xdr:colOff>
          <xdr:row>49</xdr:row>
          <xdr:rowOff>9525</xdr:rowOff>
        </xdr:to>
        <xdr:sp macro="" textlink="">
          <xdr:nvSpPr>
            <xdr:cNvPr id="10245" name="Check Box 5" hidden="1">
              <a:extLst>
                <a:ext uri="{63B3BB69-23CF-44E3-9099-C40C66FF867C}">
                  <a14:compatExt spid="_x0000_s1024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523875</xdr:colOff>
          <xdr:row>48</xdr:row>
          <xdr:rowOff>171450</xdr:rowOff>
        </xdr:from>
        <xdr:to>
          <xdr:col>2</xdr:col>
          <xdr:colOff>57150</xdr:colOff>
          <xdr:row>50</xdr:row>
          <xdr:rowOff>9525</xdr:rowOff>
        </xdr:to>
        <xdr:sp macro="" textlink="">
          <xdr:nvSpPr>
            <xdr:cNvPr id="10246" name="Check Box 6" hidden="1">
              <a:extLst>
                <a:ext uri="{63B3BB69-23CF-44E3-9099-C40C66FF867C}">
                  <a14:compatExt spid="_x0000_s1024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523875</xdr:colOff>
          <xdr:row>49</xdr:row>
          <xdr:rowOff>171450</xdr:rowOff>
        </xdr:from>
        <xdr:to>
          <xdr:col>2</xdr:col>
          <xdr:colOff>57150</xdr:colOff>
          <xdr:row>51</xdr:row>
          <xdr:rowOff>9525</xdr:rowOff>
        </xdr:to>
        <xdr:sp macro="" textlink="">
          <xdr:nvSpPr>
            <xdr:cNvPr id="10247" name="Check Box 7" hidden="1">
              <a:extLst>
                <a:ext uri="{63B3BB69-23CF-44E3-9099-C40C66FF867C}">
                  <a14:compatExt spid="_x0000_s1024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533400</xdr:colOff>
          <xdr:row>50</xdr:row>
          <xdr:rowOff>161925</xdr:rowOff>
        </xdr:from>
        <xdr:to>
          <xdr:col>2</xdr:col>
          <xdr:colOff>57150</xdr:colOff>
          <xdr:row>52</xdr:row>
          <xdr:rowOff>0</xdr:rowOff>
        </xdr:to>
        <xdr:sp macro="" textlink="">
          <xdr:nvSpPr>
            <xdr:cNvPr id="10248" name="Check Box 8" hidden="1">
              <a:extLst>
                <a:ext uri="{63B3BB69-23CF-44E3-9099-C40C66FF867C}">
                  <a14:compatExt spid="_x0000_s1024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523875</xdr:colOff>
          <xdr:row>51</xdr:row>
          <xdr:rowOff>152400</xdr:rowOff>
        </xdr:from>
        <xdr:to>
          <xdr:col>2</xdr:col>
          <xdr:colOff>57150</xdr:colOff>
          <xdr:row>53</xdr:row>
          <xdr:rowOff>0</xdr:rowOff>
        </xdr:to>
        <xdr:sp macro="" textlink="">
          <xdr:nvSpPr>
            <xdr:cNvPr id="10249" name="Check Box 9" hidden="1">
              <a:extLst>
                <a:ext uri="{63B3BB69-23CF-44E3-9099-C40C66FF867C}">
                  <a14:compatExt spid="_x0000_s1024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523875</xdr:colOff>
          <xdr:row>44</xdr:row>
          <xdr:rowOff>161925</xdr:rowOff>
        </xdr:from>
        <xdr:to>
          <xdr:col>2</xdr:col>
          <xdr:colOff>66675</xdr:colOff>
          <xdr:row>46</xdr:row>
          <xdr:rowOff>0</xdr:rowOff>
        </xdr:to>
        <xdr:sp macro="" textlink="">
          <xdr:nvSpPr>
            <xdr:cNvPr id="10250" name="Check Box 10" hidden="1">
              <a:extLst>
                <a:ext uri="{63B3BB69-23CF-44E3-9099-C40C66FF867C}">
                  <a14:compatExt spid="_x0000_s1025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809625</xdr:colOff>
          <xdr:row>7</xdr:row>
          <xdr:rowOff>9525</xdr:rowOff>
        </xdr:from>
        <xdr:to>
          <xdr:col>1</xdr:col>
          <xdr:colOff>971550</xdr:colOff>
          <xdr:row>8</xdr:row>
          <xdr:rowOff>0</xdr:rowOff>
        </xdr:to>
        <xdr:sp macro="" textlink="">
          <xdr:nvSpPr>
            <xdr:cNvPr id="10251" name="Check Box 11" hidden="1">
              <a:extLst>
                <a:ext uri="{63B3BB69-23CF-44E3-9099-C40C66FF867C}">
                  <a14:compatExt spid="_x0000_s1025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857250</xdr:colOff>
          <xdr:row>6</xdr:row>
          <xdr:rowOff>171450</xdr:rowOff>
        </xdr:from>
        <xdr:to>
          <xdr:col>2</xdr:col>
          <xdr:colOff>1552575</xdr:colOff>
          <xdr:row>8</xdr:row>
          <xdr:rowOff>9525</xdr:rowOff>
        </xdr:to>
        <xdr:sp macro="" textlink="">
          <xdr:nvSpPr>
            <xdr:cNvPr id="10252" name="Check Box 12" hidden="1">
              <a:extLst>
                <a:ext uri="{63B3BB69-23CF-44E3-9099-C40C66FF867C}">
                  <a14:compatExt spid="_x0000_s1025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8</xdr:row>
          <xdr:rowOff>171450</xdr:rowOff>
        </xdr:from>
        <xdr:to>
          <xdr:col>1</xdr:col>
          <xdr:colOff>219075</xdr:colOff>
          <xdr:row>9</xdr:row>
          <xdr:rowOff>161925</xdr:rowOff>
        </xdr:to>
        <xdr:sp macro="" textlink="">
          <xdr:nvSpPr>
            <xdr:cNvPr id="10253" name="Check Box 13" hidden="1">
              <a:extLst>
                <a:ext uri="{63B3BB69-23CF-44E3-9099-C40C66FF867C}">
                  <a14:compatExt spid="_x0000_s1025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0</xdr:col>
      <xdr:colOff>0</xdr:colOff>
      <xdr:row>12</xdr:row>
      <xdr:rowOff>95250</xdr:rowOff>
    </xdr:from>
    <xdr:ext cx="10248900" cy="1470146"/>
    <xdr:sp macro="" textlink="">
      <xdr:nvSpPr>
        <xdr:cNvPr id="2" name="TextBox 1"/>
        <xdr:cNvSpPr txBox="1"/>
      </xdr:nvSpPr>
      <xdr:spPr>
        <a:xfrm>
          <a:off x="0" y="2419350"/>
          <a:ext cx="10248900"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a:t>This project aims to develop an IoT-based prototype that detects a </a:t>
          </a:r>
          <a:r>
            <a:rPr lang="en-GB" b="1"/>
            <a:t>fire alarm or any type of alarm sound</a:t>
          </a:r>
          <a:r>
            <a:rPr lang="en-GB"/>
            <a:t> and responds by turning on a LEDs and sending a push notification to a connected mobile application over IOT. The system integrates both hardware and software components to operate seamlessly.</a:t>
          </a:r>
        </a:p>
        <a:p>
          <a:r>
            <a:rPr lang="en-GB"/>
            <a:t>The hardware device will capture audio through a microphone, process it to recognize alarm sounds, and trigger an LED indicator when detected. It will also communicate with a mobile app via Wi-Fi to deliver real-time alerts to the user.</a:t>
          </a:r>
        </a:p>
        <a:p>
          <a:r>
            <a:rPr lang="en-GB"/>
            <a:t>For the initial phase, the system will rely on </a:t>
          </a:r>
          <a:r>
            <a:rPr lang="en-GB" b="1"/>
            <a:t>third-party applications</a:t>
          </a:r>
          <a:r>
            <a:rPr lang="en-GB" b="0" baseline="0"/>
            <a:t> </a:t>
          </a:r>
          <a:r>
            <a:rPr lang="en-GB"/>
            <a:t>such as </a:t>
          </a:r>
          <a:r>
            <a:rPr lang="en-GB" b="1"/>
            <a:t>Blynk IoT</a:t>
          </a:r>
          <a:r>
            <a:rPr lang="en-GB"/>
            <a:t> or another suitable platform—to handle alert notifications and basic configurations. The choice of application will be finalized later based on feasibility and performance.</a:t>
          </a:r>
        </a:p>
        <a:p>
          <a:r>
            <a:rPr lang="en-GB"/>
            <a:t>The final deliverable is a working prototype that reliably detects alarm sounds, activates the LED indicator, and sends synchronized notifications to the user for immediate awareness and response.</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15240</xdr:rowOff>
    </xdr:from>
    <xdr:to>
      <xdr:col>5</xdr:col>
      <xdr:colOff>1295400</xdr:colOff>
      <xdr:row>16</xdr:row>
      <xdr:rowOff>167640</xdr:rowOff>
    </xdr:to>
    <xdr:sp macro="" textlink="">
      <xdr:nvSpPr>
        <xdr:cNvPr id="2" name="TextBox 1"/>
        <xdr:cNvSpPr txBox="1"/>
      </xdr:nvSpPr>
      <xdr:spPr>
        <a:xfrm>
          <a:off x="0" y="196215"/>
          <a:ext cx="9686925" cy="2971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id="1" name="Table1" displayName="Table1" ref="A1:H6" totalsRowShown="0" headerRowDxfId="11" dataDxfId="9" headerRowBorderDxfId="10" tableBorderDxfId="8" totalsRowBorderDxfId="7">
  <tableColumns count="8">
    <tableColumn id="1" name="Sr. No" dataDxfId="6"/>
    <tableColumn id="2" name="Component Name" dataDxfId="5"/>
    <tableColumn id="8" name="Variant" dataDxfId="4"/>
    <tableColumn id="3" name="Description / Use" dataDxfId="3"/>
    <tableColumn id="4" name="Link to Cart" dataCellStyle="Hyperlink"/>
    <tableColumn id="5" name="Quantity" dataDxfId="2"/>
    <tableColumn id="6" name="Unit Price" dataDxfId="1"/>
    <tableColumn id="7" name="Total Price (Euro)" dataDxfId="0">
      <calculatedColumnFormula>F2*G2</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G103"/>
  <sheetViews>
    <sheetView tabSelected="1" zoomScaleNormal="100" workbookViewId="0">
      <selection activeCell="H76" sqref="H76"/>
    </sheetView>
  </sheetViews>
  <sheetFormatPr defaultColWidth="9.140625" defaultRowHeight="15" customHeight="1" x14ac:dyDescent="0.2"/>
  <cols>
    <col min="1" max="1" width="37.42578125" style="1" customWidth="1"/>
    <col min="2" max="2" width="17" style="1" customWidth="1"/>
    <col min="3" max="3" width="45.5703125" style="1" customWidth="1"/>
    <col min="4" max="4" width="19.85546875" style="1" customWidth="1"/>
    <col min="5" max="5" width="15.42578125" style="1" customWidth="1"/>
    <col min="6" max="6" width="20" style="1" customWidth="1"/>
    <col min="7" max="16384" width="9.140625" style="1"/>
  </cols>
  <sheetData>
    <row r="1" spans="1:6" ht="30.75" customHeight="1" x14ac:dyDescent="0.2">
      <c r="A1" s="128" t="s">
        <v>0</v>
      </c>
      <c r="B1" s="129"/>
      <c r="C1" s="129"/>
      <c r="D1" s="129"/>
      <c r="E1" s="129"/>
      <c r="F1" s="130"/>
    </row>
    <row r="2" spans="1:6" ht="21" customHeight="1" x14ac:dyDescent="0.2">
      <c r="A2" s="131" t="s">
        <v>1</v>
      </c>
      <c r="B2" s="132"/>
      <c r="C2" s="132"/>
      <c r="D2" s="132"/>
      <c r="E2" s="132"/>
      <c r="F2" s="133"/>
    </row>
    <row r="3" spans="1:6" ht="4.5" hidden="1" customHeight="1" x14ac:dyDescent="0.2">
      <c r="A3" s="131"/>
      <c r="B3" s="132"/>
      <c r="C3" s="132"/>
      <c r="D3" s="132"/>
      <c r="E3" s="132"/>
      <c r="F3" s="133"/>
    </row>
    <row r="4" spans="1:6" ht="15.75" x14ac:dyDescent="0.25">
      <c r="A4" s="57" t="s">
        <v>2</v>
      </c>
      <c r="B4" s="134"/>
      <c r="C4" s="135"/>
      <c r="D4" s="135"/>
      <c r="E4" s="135"/>
      <c r="F4" s="136"/>
    </row>
    <row r="5" spans="1:6" ht="14.25" x14ac:dyDescent="0.2">
      <c r="A5" s="58" t="s">
        <v>3</v>
      </c>
      <c r="B5" s="137" t="s">
        <v>142</v>
      </c>
      <c r="C5" s="137"/>
      <c r="D5" s="137"/>
      <c r="E5" s="137"/>
      <c r="F5" s="138"/>
    </row>
    <row r="6" spans="1:6" ht="14.25" x14ac:dyDescent="0.2">
      <c r="A6" s="59" t="s">
        <v>4</v>
      </c>
      <c r="B6" s="139" t="s">
        <v>143</v>
      </c>
      <c r="C6" s="139"/>
      <c r="D6" s="139"/>
      <c r="E6" s="139"/>
      <c r="F6" s="140"/>
    </row>
    <row r="7" spans="1:6" ht="14.25" x14ac:dyDescent="0.2">
      <c r="A7" s="59" t="s">
        <v>5</v>
      </c>
      <c r="B7" s="141">
        <v>45969</v>
      </c>
      <c r="C7" s="142"/>
      <c r="D7" s="60" t="s">
        <v>6</v>
      </c>
      <c r="E7" s="141" t="s">
        <v>131</v>
      </c>
      <c r="F7" s="143"/>
    </row>
    <row r="8" spans="1:6" ht="14.25" x14ac:dyDescent="0.2">
      <c r="A8" s="14" t="s">
        <v>7</v>
      </c>
      <c r="B8" s="6" t="s">
        <v>8</v>
      </c>
      <c r="C8" s="5" t="s">
        <v>9</v>
      </c>
      <c r="E8" s="144"/>
      <c r="F8" s="145"/>
    </row>
    <row r="9" spans="1:6" ht="14.25" x14ac:dyDescent="0.2">
      <c r="A9" s="59" t="s">
        <v>10</v>
      </c>
      <c r="B9" s="146">
        <v>21</v>
      </c>
      <c r="C9" s="146"/>
      <c r="D9" s="147" t="s">
        <v>11</v>
      </c>
      <c r="E9" s="147"/>
      <c r="F9" s="15" t="s">
        <v>132</v>
      </c>
    </row>
    <row r="10" spans="1:6" ht="14.25" x14ac:dyDescent="0.2">
      <c r="A10" s="59" t="s">
        <v>12</v>
      </c>
      <c r="B10" s="61"/>
      <c r="C10" s="62"/>
      <c r="D10" s="62"/>
      <c r="E10" s="62"/>
      <c r="F10" s="63"/>
    </row>
    <row r="11" spans="1:6" ht="14.25" x14ac:dyDescent="0.2">
      <c r="A11" s="148"/>
      <c r="B11" s="149"/>
      <c r="C11" s="149"/>
      <c r="D11" s="149"/>
      <c r="E11" s="149"/>
      <c r="F11" s="150"/>
    </row>
    <row r="12" spans="1:6" ht="15.75" customHeight="1" x14ac:dyDescent="0.25">
      <c r="A12" s="151" t="s">
        <v>13</v>
      </c>
      <c r="B12" s="152"/>
      <c r="C12" s="152"/>
      <c r="D12" s="152"/>
      <c r="E12" s="152"/>
      <c r="F12" s="153"/>
    </row>
    <row r="13" spans="1:6" ht="15" customHeight="1" x14ac:dyDescent="0.2">
      <c r="A13" s="119"/>
      <c r="B13" s="120"/>
      <c r="C13" s="120"/>
      <c r="D13" s="120"/>
      <c r="E13" s="120"/>
      <c r="F13" s="121"/>
    </row>
    <row r="14" spans="1:6" ht="14.25" customHeight="1" x14ac:dyDescent="0.2">
      <c r="A14" s="122"/>
      <c r="B14" s="123"/>
      <c r="C14" s="123"/>
      <c r="D14" s="123"/>
      <c r="E14" s="123"/>
      <c r="F14" s="124"/>
    </row>
    <row r="15" spans="1:6" ht="14.25" customHeight="1" x14ac:dyDescent="0.2">
      <c r="A15" s="122"/>
      <c r="B15" s="123"/>
      <c r="C15" s="123"/>
      <c r="D15" s="123"/>
      <c r="E15" s="123"/>
      <c r="F15" s="124"/>
    </row>
    <row r="16" spans="1:6" ht="14.25" customHeight="1" x14ac:dyDescent="0.2">
      <c r="A16" s="122"/>
      <c r="B16" s="123"/>
      <c r="C16" s="123"/>
      <c r="D16" s="123"/>
      <c r="E16" s="123"/>
      <c r="F16" s="124"/>
    </row>
    <row r="17" spans="1:6" ht="14.25" customHeight="1" x14ac:dyDescent="0.2">
      <c r="A17" s="122"/>
      <c r="B17" s="123"/>
      <c r="C17" s="123"/>
      <c r="D17" s="123"/>
      <c r="E17" s="123"/>
      <c r="F17" s="124"/>
    </row>
    <row r="18" spans="1:6" ht="60.75" customHeight="1" x14ac:dyDescent="0.2">
      <c r="A18" s="125"/>
      <c r="B18" s="126"/>
      <c r="C18" s="126"/>
      <c r="D18" s="126"/>
      <c r="E18" s="126"/>
      <c r="F18" s="127"/>
    </row>
    <row r="19" spans="1:6" ht="15.75" x14ac:dyDescent="0.25">
      <c r="A19" s="64" t="s">
        <v>14</v>
      </c>
      <c r="B19" s="154" t="s">
        <v>5</v>
      </c>
      <c r="C19" s="155"/>
      <c r="D19" s="65"/>
      <c r="E19" s="155"/>
      <c r="F19" s="156"/>
    </row>
    <row r="20" spans="1:6" ht="14.25" x14ac:dyDescent="0.2">
      <c r="A20" s="192" t="s">
        <v>15</v>
      </c>
      <c r="B20" s="157" t="s">
        <v>16</v>
      </c>
      <c r="C20" s="158"/>
      <c r="D20" s="66" t="s">
        <v>115</v>
      </c>
      <c r="E20" s="67" t="s">
        <v>17</v>
      </c>
      <c r="F20" s="68" t="s">
        <v>18</v>
      </c>
    </row>
    <row r="21" spans="1:6" ht="14.25" customHeight="1" x14ac:dyDescent="0.2">
      <c r="A21" s="193"/>
      <c r="B21" s="159" t="s">
        <v>74</v>
      </c>
      <c r="C21" s="160"/>
      <c r="D21" s="69"/>
      <c r="E21" s="161" t="s">
        <v>107</v>
      </c>
      <c r="F21" s="70"/>
    </row>
    <row r="22" spans="1:6" ht="14.25" x14ac:dyDescent="0.2">
      <c r="A22" s="193"/>
      <c r="B22" s="164" t="s">
        <v>75</v>
      </c>
      <c r="C22" s="165"/>
      <c r="D22" s="71"/>
      <c r="E22" s="162"/>
      <c r="F22" s="70"/>
    </row>
    <row r="23" spans="1:6" ht="14.25" x14ac:dyDescent="0.2">
      <c r="A23" s="193"/>
      <c r="B23" s="164" t="s">
        <v>100</v>
      </c>
      <c r="C23" s="165"/>
      <c r="D23" s="71"/>
      <c r="E23" s="162"/>
      <c r="F23" s="72"/>
    </row>
    <row r="24" spans="1:6" ht="14.25" x14ac:dyDescent="0.2">
      <c r="A24" s="193"/>
      <c r="B24" s="164" t="s">
        <v>98</v>
      </c>
      <c r="C24" s="165"/>
      <c r="D24" s="71"/>
      <c r="E24" s="162"/>
      <c r="F24" s="72"/>
    </row>
    <row r="25" spans="1:6" ht="14.25" x14ac:dyDescent="0.2">
      <c r="A25" s="193"/>
      <c r="B25" s="164" t="s">
        <v>101</v>
      </c>
      <c r="C25" s="165"/>
      <c r="D25" s="71"/>
      <c r="E25" s="162"/>
      <c r="F25" s="72"/>
    </row>
    <row r="26" spans="1:6" ht="14.25" x14ac:dyDescent="0.2">
      <c r="A26" s="194"/>
      <c r="B26" s="164" t="s">
        <v>133</v>
      </c>
      <c r="C26" s="165"/>
      <c r="D26" s="73"/>
      <c r="E26" s="162"/>
      <c r="F26" s="72"/>
    </row>
    <row r="27" spans="1:6" ht="14.25" x14ac:dyDescent="0.2">
      <c r="A27" s="25"/>
      <c r="B27" s="166" t="s">
        <v>116</v>
      </c>
      <c r="C27" s="167"/>
      <c r="D27" s="74">
        <f>SUM(D21:D26)</f>
        <v>0</v>
      </c>
      <c r="E27" s="163"/>
      <c r="F27" s="75"/>
    </row>
    <row r="28" spans="1:6" ht="14.25" x14ac:dyDescent="0.2">
      <c r="A28" s="168" t="s">
        <v>19</v>
      </c>
      <c r="B28" s="157" t="s">
        <v>16</v>
      </c>
      <c r="C28" s="158"/>
      <c r="D28" s="66" t="s">
        <v>115</v>
      </c>
      <c r="E28" s="67" t="s">
        <v>17</v>
      </c>
      <c r="F28" s="68" t="s">
        <v>18</v>
      </c>
    </row>
    <row r="29" spans="1:6" ht="14.25" x14ac:dyDescent="0.2">
      <c r="A29" s="168"/>
      <c r="B29" s="164" t="s">
        <v>134</v>
      </c>
      <c r="C29" s="165"/>
      <c r="D29" s="69"/>
      <c r="E29" s="161" t="s">
        <v>136</v>
      </c>
      <c r="F29" s="70"/>
    </row>
    <row r="30" spans="1:6" ht="14.25" x14ac:dyDescent="0.2">
      <c r="A30" s="168"/>
      <c r="B30" s="164" t="s">
        <v>135</v>
      </c>
      <c r="C30" s="165"/>
      <c r="D30" s="71"/>
      <c r="E30" s="162"/>
      <c r="F30" s="72"/>
    </row>
    <row r="31" spans="1:6" ht="14.25" x14ac:dyDescent="0.2">
      <c r="A31" s="168"/>
      <c r="B31" s="164" t="s">
        <v>102</v>
      </c>
      <c r="C31" s="165"/>
      <c r="D31" s="71"/>
      <c r="E31" s="162"/>
      <c r="F31" s="72"/>
    </row>
    <row r="32" spans="1:6" ht="14.25" x14ac:dyDescent="0.2">
      <c r="A32" s="168"/>
      <c r="B32" s="164" t="s">
        <v>103</v>
      </c>
      <c r="C32" s="165"/>
      <c r="D32" s="71"/>
      <c r="E32" s="162"/>
      <c r="F32" s="72"/>
    </row>
    <row r="33" spans="1:6" ht="14.25" x14ac:dyDescent="0.2">
      <c r="A33" s="168"/>
      <c r="B33" s="159"/>
      <c r="C33" s="160"/>
      <c r="D33" s="73"/>
      <c r="E33" s="162"/>
      <c r="F33" s="72"/>
    </row>
    <row r="34" spans="1:6" ht="14.25" x14ac:dyDescent="0.2">
      <c r="A34" s="25"/>
      <c r="B34" s="166" t="s">
        <v>117</v>
      </c>
      <c r="C34" s="167"/>
      <c r="D34" s="74">
        <f>SUM(D29:D33)</f>
        <v>0</v>
      </c>
      <c r="E34" s="163"/>
      <c r="F34" s="75"/>
    </row>
    <row r="35" spans="1:6" ht="14.25" x14ac:dyDescent="0.2">
      <c r="A35" s="168" t="s">
        <v>20</v>
      </c>
      <c r="B35" s="157" t="s">
        <v>16</v>
      </c>
      <c r="C35" s="158"/>
      <c r="D35" s="66" t="s">
        <v>115</v>
      </c>
      <c r="E35" s="67" t="s">
        <v>17</v>
      </c>
      <c r="F35" s="68" t="s">
        <v>18</v>
      </c>
    </row>
    <row r="36" spans="1:6" ht="14.25" x14ac:dyDescent="0.2">
      <c r="A36" s="168"/>
      <c r="B36" s="159" t="s">
        <v>104</v>
      </c>
      <c r="C36" s="160"/>
      <c r="D36" s="69"/>
      <c r="E36" s="161" t="s">
        <v>108</v>
      </c>
      <c r="F36" s="70"/>
    </row>
    <row r="37" spans="1:6" ht="14.25" x14ac:dyDescent="0.2">
      <c r="A37" s="168"/>
      <c r="B37" s="159" t="s">
        <v>137</v>
      </c>
      <c r="C37" s="160"/>
      <c r="D37" s="71"/>
      <c r="E37" s="162"/>
      <c r="F37" s="72"/>
    </row>
    <row r="38" spans="1:6" ht="14.25" x14ac:dyDescent="0.2">
      <c r="A38" s="168"/>
      <c r="B38" s="159" t="s">
        <v>105</v>
      </c>
      <c r="C38" s="160"/>
      <c r="D38" s="71"/>
      <c r="E38" s="162"/>
      <c r="F38" s="72"/>
    </row>
    <row r="39" spans="1:6" ht="14.25" x14ac:dyDescent="0.2">
      <c r="A39" s="168"/>
      <c r="B39" s="159" t="s">
        <v>99</v>
      </c>
      <c r="C39" s="160"/>
      <c r="D39" s="71"/>
      <c r="E39" s="162"/>
      <c r="F39" s="72"/>
    </row>
    <row r="40" spans="1:6" ht="14.25" x14ac:dyDescent="0.2">
      <c r="A40" s="168"/>
      <c r="B40" s="159" t="s">
        <v>106</v>
      </c>
      <c r="C40" s="160"/>
      <c r="D40" s="73"/>
      <c r="E40" s="162"/>
      <c r="F40" s="72"/>
    </row>
    <row r="41" spans="1:6" ht="14.25" x14ac:dyDescent="0.2">
      <c r="A41" s="25"/>
      <c r="B41" s="166" t="s">
        <v>118</v>
      </c>
      <c r="C41" s="167"/>
      <c r="D41" s="74">
        <f>SUM(D36:D40)</f>
        <v>0</v>
      </c>
      <c r="E41" s="24"/>
      <c r="F41" s="76"/>
    </row>
    <row r="42" spans="1:6" s="2" customFormat="1" ht="14.25" x14ac:dyDescent="0.2">
      <c r="A42" s="209"/>
      <c r="B42" s="210"/>
      <c r="C42" s="210"/>
      <c r="D42" s="210"/>
      <c r="E42" s="210"/>
      <c r="F42" s="211"/>
    </row>
    <row r="43" spans="1:6" ht="19.5" customHeight="1" x14ac:dyDescent="0.25">
      <c r="A43" s="212" t="s">
        <v>21</v>
      </c>
      <c r="B43" s="154"/>
      <c r="C43" s="77" t="s">
        <v>22</v>
      </c>
      <c r="D43" s="134" t="s">
        <v>23</v>
      </c>
      <c r="E43" s="135"/>
      <c r="F43" s="136"/>
    </row>
    <row r="44" spans="1:6" ht="14.25" x14ac:dyDescent="0.2">
      <c r="A44" s="13" t="s">
        <v>24</v>
      </c>
      <c r="B44" s="78"/>
      <c r="C44" s="55" t="s">
        <v>25</v>
      </c>
      <c r="D44" s="213" t="s">
        <v>26</v>
      </c>
      <c r="E44" s="214"/>
      <c r="F44" s="215"/>
    </row>
    <row r="45" spans="1:6" ht="14.25" x14ac:dyDescent="0.2">
      <c r="A45" s="13" t="s">
        <v>27</v>
      </c>
      <c r="B45" s="78"/>
      <c r="C45" s="54" t="s">
        <v>138</v>
      </c>
      <c r="D45" s="216"/>
      <c r="E45" s="217"/>
      <c r="F45" s="218"/>
    </row>
    <row r="46" spans="1:6" ht="14.25" x14ac:dyDescent="0.2">
      <c r="A46" s="13" t="s">
        <v>28</v>
      </c>
      <c r="B46" s="78"/>
      <c r="C46" s="54" t="s">
        <v>114</v>
      </c>
      <c r="D46" s="216"/>
      <c r="E46" s="217"/>
      <c r="F46" s="218"/>
    </row>
    <row r="47" spans="1:6" ht="14.25" x14ac:dyDescent="0.2">
      <c r="A47" s="13" t="s">
        <v>29</v>
      </c>
      <c r="B47" s="78"/>
      <c r="C47" s="54" t="s">
        <v>30</v>
      </c>
      <c r="D47" s="216"/>
      <c r="E47" s="217"/>
      <c r="F47" s="218"/>
    </row>
    <row r="48" spans="1:6" ht="14.25" x14ac:dyDescent="0.2">
      <c r="A48" s="13" t="s">
        <v>31</v>
      </c>
      <c r="B48" s="78"/>
      <c r="C48" s="54" t="s">
        <v>139</v>
      </c>
      <c r="D48" s="219"/>
      <c r="E48" s="220"/>
      <c r="F48" s="221"/>
    </row>
    <row r="49" spans="1:6" ht="14.25" x14ac:dyDescent="0.2">
      <c r="A49" s="13" t="s">
        <v>32</v>
      </c>
      <c r="B49" s="78"/>
      <c r="C49" s="4" t="s">
        <v>33</v>
      </c>
      <c r="D49" s="169" t="s">
        <v>34</v>
      </c>
      <c r="E49" s="170"/>
      <c r="F49" s="171"/>
    </row>
    <row r="50" spans="1:6" ht="14.25" x14ac:dyDescent="0.2">
      <c r="A50" s="13" t="s">
        <v>35</v>
      </c>
      <c r="B50" s="78"/>
      <c r="C50" s="56" t="s">
        <v>113</v>
      </c>
      <c r="D50" s="201" t="s">
        <v>109</v>
      </c>
      <c r="E50" s="202"/>
      <c r="F50" s="203"/>
    </row>
    <row r="51" spans="1:6" ht="14.25" x14ac:dyDescent="0.2">
      <c r="A51" s="13" t="s">
        <v>36</v>
      </c>
      <c r="B51" s="78"/>
      <c r="C51" s="56" t="s">
        <v>140</v>
      </c>
      <c r="D51" s="201" t="s">
        <v>112</v>
      </c>
      <c r="E51" s="202"/>
      <c r="F51" s="203"/>
    </row>
    <row r="52" spans="1:6" ht="14.25" x14ac:dyDescent="0.2">
      <c r="A52" s="13" t="s">
        <v>37</v>
      </c>
      <c r="B52" s="78"/>
      <c r="C52" s="56" t="s">
        <v>111</v>
      </c>
      <c r="D52" s="201" t="s">
        <v>110</v>
      </c>
      <c r="E52" s="202"/>
      <c r="F52" s="203"/>
    </row>
    <row r="53" spans="1:6" ht="14.25" x14ac:dyDescent="0.2">
      <c r="A53" s="13" t="s">
        <v>38</v>
      </c>
      <c r="B53" s="78"/>
      <c r="C53" s="56"/>
      <c r="D53" s="201"/>
      <c r="E53" s="202"/>
      <c r="F53" s="203"/>
    </row>
    <row r="54" spans="1:6" ht="14.25" x14ac:dyDescent="0.2">
      <c r="A54" s="204"/>
      <c r="B54" s="205"/>
      <c r="C54" s="205"/>
      <c r="D54" s="205"/>
      <c r="E54" s="205"/>
      <c r="F54" s="206"/>
    </row>
    <row r="55" spans="1:6" ht="15.75" x14ac:dyDescent="0.2">
      <c r="A55" s="195" t="s">
        <v>119</v>
      </c>
      <c r="B55" s="207"/>
      <c r="C55" s="207"/>
      <c r="D55" s="207"/>
      <c r="E55" s="207"/>
      <c r="F55" s="208"/>
    </row>
    <row r="56" spans="1:6" ht="14.25" x14ac:dyDescent="0.2">
      <c r="A56" s="181" t="s">
        <v>120</v>
      </c>
      <c r="B56" s="181"/>
      <c r="C56" s="181"/>
      <c r="D56" s="181"/>
      <c r="E56" s="181"/>
      <c r="F56" s="79" t="s">
        <v>115</v>
      </c>
    </row>
    <row r="57" spans="1:6" ht="14.25" x14ac:dyDescent="0.2">
      <c r="A57" s="182"/>
      <c r="B57" s="182"/>
      <c r="C57" s="182"/>
      <c r="D57" s="182"/>
      <c r="E57" s="182"/>
      <c r="F57" s="80"/>
    </row>
    <row r="58" spans="1:6" ht="14.25" x14ac:dyDescent="0.2">
      <c r="A58" s="182"/>
      <c r="B58" s="182"/>
      <c r="C58" s="182"/>
      <c r="D58" s="182"/>
      <c r="E58" s="182"/>
      <c r="F58" s="81"/>
    </row>
    <row r="59" spans="1:6" ht="14.25" x14ac:dyDescent="0.2">
      <c r="A59" s="82" t="s">
        <v>141</v>
      </c>
      <c r="B59" s="83"/>
      <c r="C59" s="183" t="s">
        <v>121</v>
      </c>
      <c r="D59" s="184"/>
      <c r="E59" s="185"/>
      <c r="F59" s="84">
        <f>SUM(F57:F58)</f>
        <v>0</v>
      </c>
    </row>
    <row r="60" spans="1:6" ht="14.25" x14ac:dyDescent="0.2">
      <c r="A60" s="186"/>
      <c r="B60" s="187"/>
      <c r="C60" s="187"/>
      <c r="D60" s="187"/>
      <c r="E60" s="187"/>
      <c r="F60" s="188"/>
    </row>
    <row r="61" spans="1:6" s="3" customFormat="1" ht="21.75" customHeight="1" x14ac:dyDescent="0.2">
      <c r="A61" s="27" t="s">
        <v>122</v>
      </c>
      <c r="B61" s="26"/>
      <c r="C61" s="26"/>
      <c r="D61" s="26"/>
      <c r="E61" s="26"/>
      <c r="F61" s="28"/>
    </row>
    <row r="62" spans="1:6" s="3" customFormat="1" ht="21.75" customHeight="1" x14ac:dyDescent="0.2">
      <c r="A62" s="16" t="s">
        <v>44</v>
      </c>
      <c r="B62" s="7" t="s">
        <v>45</v>
      </c>
      <c r="C62" s="7" t="s">
        <v>46</v>
      </c>
      <c r="D62" s="8" t="s">
        <v>47</v>
      </c>
      <c r="E62" s="85" t="s">
        <v>48</v>
      </c>
      <c r="F62" s="86" t="s">
        <v>49</v>
      </c>
    </row>
    <row r="63" spans="1:6" ht="14.25" x14ac:dyDescent="0.2">
      <c r="A63" s="17" t="s">
        <v>50</v>
      </c>
      <c r="B63" s="9" t="s">
        <v>51</v>
      </c>
      <c r="C63" s="9"/>
      <c r="D63" s="10"/>
      <c r="E63" s="87"/>
      <c r="F63" s="88">
        <f>D63*E63</f>
        <v>0</v>
      </c>
    </row>
    <row r="64" spans="1:6" ht="14.25" x14ac:dyDescent="0.2">
      <c r="A64" s="17" t="s">
        <v>52</v>
      </c>
      <c r="B64" s="9" t="s">
        <v>53</v>
      </c>
      <c r="C64" s="9"/>
      <c r="D64" s="10"/>
      <c r="E64" s="87"/>
      <c r="F64" s="88">
        <f t="shared" ref="F64:F70" si="0">D64*E64</f>
        <v>0</v>
      </c>
    </row>
    <row r="65" spans="1:7" ht="14.25" x14ac:dyDescent="0.2">
      <c r="A65" s="17" t="s">
        <v>54</v>
      </c>
      <c r="B65" s="9" t="s">
        <v>55</v>
      </c>
      <c r="C65" s="9"/>
      <c r="D65" s="10"/>
      <c r="E65" s="87"/>
      <c r="F65" s="88">
        <f t="shared" si="0"/>
        <v>0</v>
      </c>
    </row>
    <row r="66" spans="1:7" ht="14.25" x14ac:dyDescent="0.2">
      <c r="A66" s="18" t="s">
        <v>56</v>
      </c>
      <c r="B66" s="9" t="s">
        <v>57</v>
      </c>
      <c r="C66" s="9"/>
      <c r="D66" s="10"/>
      <c r="E66" s="87"/>
      <c r="F66" s="88">
        <f t="shared" si="0"/>
        <v>0</v>
      </c>
    </row>
    <row r="67" spans="1:7" ht="14.25" x14ac:dyDescent="0.2">
      <c r="A67" s="18" t="s">
        <v>58</v>
      </c>
      <c r="B67" s="9" t="s">
        <v>59</v>
      </c>
      <c r="C67" s="9"/>
      <c r="D67" s="10"/>
      <c r="E67" s="87"/>
      <c r="F67" s="88">
        <f t="shared" si="0"/>
        <v>0</v>
      </c>
    </row>
    <row r="68" spans="1:7" ht="14.25" x14ac:dyDescent="0.2">
      <c r="A68" s="18" t="s">
        <v>60</v>
      </c>
      <c r="B68" s="9" t="s">
        <v>61</v>
      </c>
      <c r="C68" s="9"/>
      <c r="D68" s="10"/>
      <c r="E68" s="87"/>
      <c r="F68" s="88">
        <f t="shared" si="0"/>
        <v>0</v>
      </c>
    </row>
    <row r="69" spans="1:7" ht="14.25" x14ac:dyDescent="0.2">
      <c r="A69" s="17" t="s">
        <v>62</v>
      </c>
      <c r="B69" s="9" t="s">
        <v>63</v>
      </c>
      <c r="C69" s="9"/>
      <c r="D69" s="10"/>
      <c r="E69" s="87"/>
      <c r="F69" s="88">
        <f t="shared" si="0"/>
        <v>0</v>
      </c>
    </row>
    <row r="70" spans="1:7" ht="14.25" x14ac:dyDescent="0.2">
      <c r="A70" s="19" t="s">
        <v>64</v>
      </c>
      <c r="B70" s="11"/>
      <c r="C70" s="12"/>
      <c r="D70" s="89"/>
      <c r="E70" s="87"/>
      <c r="F70" s="88">
        <f t="shared" si="0"/>
        <v>0</v>
      </c>
    </row>
    <row r="71" spans="1:7" ht="15" customHeight="1" x14ac:dyDescent="0.2">
      <c r="A71" s="31"/>
      <c r="B71" s="30"/>
      <c r="C71" s="29"/>
      <c r="D71" s="32"/>
      <c r="E71" s="90" t="s">
        <v>65</v>
      </c>
      <c r="F71" s="91">
        <f>SUM(F63:F70)</f>
        <v>0</v>
      </c>
    </row>
    <row r="72" spans="1:7" ht="14.25" x14ac:dyDescent="0.2">
      <c r="A72" s="189"/>
      <c r="B72" s="190"/>
      <c r="C72" s="190"/>
      <c r="D72" s="190"/>
      <c r="E72" s="190"/>
      <c r="F72" s="191"/>
    </row>
    <row r="73" spans="1:7" s="3" customFormat="1" ht="21.75" customHeight="1" x14ac:dyDescent="0.2">
      <c r="A73" s="195" t="s">
        <v>123</v>
      </c>
      <c r="B73" s="196"/>
      <c r="C73" s="196"/>
      <c r="D73" s="196"/>
      <c r="E73" s="196"/>
      <c r="F73" s="197"/>
    </row>
    <row r="74" spans="1:7" s="3" customFormat="1" ht="21.75" customHeight="1" x14ac:dyDescent="0.2">
      <c r="A74" s="198" t="s">
        <v>124</v>
      </c>
      <c r="B74" s="199"/>
      <c r="C74" s="199"/>
      <c r="D74" s="199"/>
      <c r="E74" s="199"/>
      <c r="F74" s="200"/>
    </row>
    <row r="75" spans="1:7" ht="14.25" x14ac:dyDescent="0.2">
      <c r="A75" s="92" t="s">
        <v>39</v>
      </c>
      <c r="B75" s="93" t="s">
        <v>125</v>
      </c>
      <c r="C75" s="94" t="s">
        <v>126</v>
      </c>
      <c r="D75" s="95" t="s">
        <v>127</v>
      </c>
      <c r="E75" s="96" t="s">
        <v>40</v>
      </c>
      <c r="F75" s="97" t="s">
        <v>41</v>
      </c>
    </row>
    <row r="76" spans="1:7" ht="14.25" x14ac:dyDescent="0.2">
      <c r="A76" s="98" t="s">
        <v>15</v>
      </c>
      <c r="B76" s="99">
        <f>B9</f>
        <v>21</v>
      </c>
      <c r="C76" s="100">
        <f>D27</f>
        <v>0</v>
      </c>
      <c r="D76" s="101">
        <f>B76*C76</f>
        <v>0</v>
      </c>
      <c r="E76" s="102"/>
      <c r="F76" s="103">
        <f>D76-E76</f>
        <v>0</v>
      </c>
    </row>
    <row r="77" spans="1:7" ht="14.25" x14ac:dyDescent="0.2">
      <c r="A77" s="98" t="s">
        <v>19</v>
      </c>
      <c r="B77" s="99">
        <f>B9</f>
        <v>21</v>
      </c>
      <c r="C77" s="100">
        <f>D34</f>
        <v>0</v>
      </c>
      <c r="D77" s="101">
        <f t="shared" ref="D77:D79" si="1">B77*C77</f>
        <v>0</v>
      </c>
      <c r="E77" s="102"/>
      <c r="F77" s="103">
        <f t="shared" ref="F77:F80" si="2">D77-E77</f>
        <v>0</v>
      </c>
      <c r="G77" s="104"/>
    </row>
    <row r="78" spans="1:7" ht="14.25" x14ac:dyDescent="0.2">
      <c r="A78" s="105" t="s">
        <v>20</v>
      </c>
      <c r="B78" s="106">
        <f>B9</f>
        <v>21</v>
      </c>
      <c r="C78" s="107">
        <f>D41</f>
        <v>0</v>
      </c>
      <c r="D78" s="108">
        <f t="shared" si="1"/>
        <v>0</v>
      </c>
      <c r="E78" s="109"/>
      <c r="F78" s="110">
        <f t="shared" si="2"/>
        <v>0</v>
      </c>
    </row>
    <row r="79" spans="1:7" ht="15" customHeight="1" x14ac:dyDescent="0.2">
      <c r="A79" s="111" t="s">
        <v>128</v>
      </c>
      <c r="B79" s="112">
        <f>B9</f>
        <v>21</v>
      </c>
      <c r="C79" s="113">
        <f>F59</f>
        <v>0</v>
      </c>
      <c r="D79" s="114">
        <f t="shared" si="1"/>
        <v>0</v>
      </c>
      <c r="E79" s="114"/>
      <c r="F79" s="114">
        <f t="shared" si="2"/>
        <v>0</v>
      </c>
    </row>
    <row r="80" spans="1:7" ht="15" customHeight="1" x14ac:dyDescent="0.2">
      <c r="A80" s="111" t="s">
        <v>66</v>
      </c>
      <c r="B80" s="112" t="s">
        <v>129</v>
      </c>
      <c r="C80" s="113" t="s">
        <v>130</v>
      </c>
      <c r="D80" s="114">
        <f>F71</f>
        <v>0</v>
      </c>
      <c r="E80" s="114"/>
      <c r="F80" s="114">
        <f t="shared" si="2"/>
        <v>0</v>
      </c>
    </row>
    <row r="81" spans="1:6" ht="15" customHeight="1" x14ac:dyDescent="0.2">
      <c r="A81" s="115" t="s">
        <v>42</v>
      </c>
      <c r="B81" s="115"/>
      <c r="C81" s="116">
        <f>SUM(C76:C79)</f>
        <v>0</v>
      </c>
      <c r="D81" s="117">
        <f>SUM(D76:D80)</f>
        <v>0</v>
      </c>
      <c r="E81" s="117">
        <f>SUM(E76:E79)</f>
        <v>0</v>
      </c>
      <c r="F81" s="117">
        <f>SUM(F76:F80)</f>
        <v>0</v>
      </c>
    </row>
    <row r="82" spans="1:6" ht="15" customHeight="1" x14ac:dyDescent="0.2">
      <c r="A82" s="118"/>
      <c r="B82" s="118"/>
      <c r="C82" s="118"/>
      <c r="D82" s="118"/>
      <c r="E82" s="118"/>
      <c r="F82" s="118"/>
    </row>
    <row r="83" spans="1:6" ht="15" customHeight="1" x14ac:dyDescent="0.2">
      <c r="A83" s="118"/>
      <c r="B83" s="118"/>
      <c r="C83" s="118"/>
      <c r="D83" s="118"/>
      <c r="E83" s="118"/>
      <c r="F83" s="118"/>
    </row>
    <row r="84" spans="1:6" ht="15" customHeight="1" x14ac:dyDescent="0.2">
      <c r="A84" s="172" t="s">
        <v>43</v>
      </c>
      <c r="B84" s="173"/>
      <c r="C84" s="173"/>
      <c r="D84" s="173"/>
      <c r="E84" s="173"/>
      <c r="F84" s="174"/>
    </row>
    <row r="85" spans="1:6" ht="14.25" x14ac:dyDescent="0.2">
      <c r="A85" s="175"/>
      <c r="B85" s="176"/>
      <c r="C85" s="176"/>
      <c r="D85" s="176"/>
      <c r="E85" s="176"/>
      <c r="F85" s="177"/>
    </row>
    <row r="86" spans="1:6" ht="14.25" x14ac:dyDescent="0.2">
      <c r="A86" s="175"/>
      <c r="B86" s="176"/>
      <c r="C86" s="176"/>
      <c r="D86" s="176"/>
      <c r="E86" s="176"/>
      <c r="F86" s="177"/>
    </row>
    <row r="87" spans="1:6" ht="14.25" x14ac:dyDescent="0.2">
      <c r="A87" s="175"/>
      <c r="B87" s="176"/>
      <c r="C87" s="176"/>
      <c r="D87" s="176"/>
      <c r="E87" s="176"/>
      <c r="F87" s="177"/>
    </row>
    <row r="88" spans="1:6" ht="14.25" x14ac:dyDescent="0.2">
      <c r="A88" s="175"/>
      <c r="B88" s="176"/>
      <c r="C88" s="176"/>
      <c r="D88" s="176"/>
      <c r="E88" s="176"/>
      <c r="F88" s="177"/>
    </row>
    <row r="89" spans="1:6" ht="14.25" x14ac:dyDescent="0.2">
      <c r="A89" s="175"/>
      <c r="B89" s="176"/>
      <c r="C89" s="176"/>
      <c r="D89" s="176"/>
      <c r="E89" s="176"/>
      <c r="F89" s="177"/>
    </row>
    <row r="90" spans="1:6" ht="15" customHeight="1" x14ac:dyDescent="0.2">
      <c r="A90" s="175"/>
      <c r="B90" s="176"/>
      <c r="C90" s="176"/>
      <c r="D90" s="176"/>
      <c r="E90" s="176"/>
      <c r="F90" s="177"/>
    </row>
    <row r="91" spans="1:6" ht="15" customHeight="1" x14ac:dyDescent="0.2">
      <c r="A91" s="175"/>
      <c r="B91" s="176"/>
      <c r="C91" s="176"/>
      <c r="D91" s="176"/>
      <c r="E91" s="176"/>
      <c r="F91" s="177"/>
    </row>
    <row r="92" spans="1:6" ht="15" customHeight="1" x14ac:dyDescent="0.2">
      <c r="A92" s="175"/>
      <c r="B92" s="176"/>
      <c r="C92" s="176"/>
      <c r="D92" s="176"/>
      <c r="E92" s="176"/>
      <c r="F92" s="177"/>
    </row>
    <row r="93" spans="1:6" ht="15" customHeight="1" x14ac:dyDescent="0.2">
      <c r="A93" s="175"/>
      <c r="B93" s="176"/>
      <c r="C93" s="176"/>
      <c r="D93" s="176"/>
      <c r="E93" s="176"/>
      <c r="F93" s="177"/>
    </row>
    <row r="94" spans="1:6" ht="15" customHeight="1" x14ac:dyDescent="0.2">
      <c r="A94" s="175"/>
      <c r="B94" s="176"/>
      <c r="C94" s="176"/>
      <c r="D94" s="176"/>
      <c r="E94" s="176"/>
      <c r="F94" s="177"/>
    </row>
    <row r="95" spans="1:6" ht="15" customHeight="1" x14ac:dyDescent="0.2">
      <c r="A95" s="175"/>
      <c r="B95" s="176"/>
      <c r="C95" s="176"/>
      <c r="D95" s="176"/>
      <c r="E95" s="176"/>
      <c r="F95" s="177"/>
    </row>
    <row r="96" spans="1:6" ht="15" customHeight="1" x14ac:dyDescent="0.2">
      <c r="A96" s="175"/>
      <c r="B96" s="176"/>
      <c r="C96" s="176"/>
      <c r="D96" s="176"/>
      <c r="E96" s="176"/>
      <c r="F96" s="177"/>
    </row>
    <row r="97" spans="1:6" ht="15" customHeight="1" x14ac:dyDescent="0.2">
      <c r="A97" s="175"/>
      <c r="B97" s="176"/>
      <c r="C97" s="176"/>
      <c r="D97" s="176"/>
      <c r="E97" s="176"/>
      <c r="F97" s="177"/>
    </row>
    <row r="98" spans="1:6" ht="15" customHeight="1" x14ac:dyDescent="0.2">
      <c r="A98" s="175"/>
      <c r="B98" s="176"/>
      <c r="C98" s="176"/>
      <c r="D98" s="176"/>
      <c r="E98" s="176"/>
      <c r="F98" s="177"/>
    </row>
    <row r="99" spans="1:6" ht="15" customHeight="1" x14ac:dyDescent="0.2">
      <c r="A99" s="175"/>
      <c r="B99" s="176"/>
      <c r="C99" s="176"/>
      <c r="D99" s="176"/>
      <c r="E99" s="176"/>
      <c r="F99" s="177"/>
    </row>
    <row r="100" spans="1:6" ht="15" customHeight="1" x14ac:dyDescent="0.2">
      <c r="A100" s="175"/>
      <c r="B100" s="176"/>
      <c r="C100" s="176"/>
      <c r="D100" s="176"/>
      <c r="E100" s="176"/>
      <c r="F100" s="177"/>
    </row>
    <row r="101" spans="1:6" ht="15" customHeight="1" x14ac:dyDescent="0.2">
      <c r="A101" s="175"/>
      <c r="B101" s="176"/>
      <c r="C101" s="176"/>
      <c r="D101" s="176"/>
      <c r="E101" s="176"/>
      <c r="F101" s="177"/>
    </row>
    <row r="102" spans="1:6" ht="15" customHeight="1" x14ac:dyDescent="0.2">
      <c r="A102" s="175"/>
      <c r="B102" s="176"/>
      <c r="C102" s="176"/>
      <c r="D102" s="176"/>
      <c r="E102" s="176"/>
      <c r="F102" s="177"/>
    </row>
    <row r="103" spans="1:6" ht="15" customHeight="1" x14ac:dyDescent="0.2">
      <c r="A103" s="178"/>
      <c r="B103" s="179"/>
      <c r="C103" s="179"/>
      <c r="D103" s="179"/>
      <c r="E103" s="179"/>
      <c r="F103" s="180"/>
    </row>
  </sheetData>
  <mergeCells count="63">
    <mergeCell ref="A20:A26"/>
    <mergeCell ref="B23:C23"/>
    <mergeCell ref="A73:F73"/>
    <mergeCell ref="A74:F74"/>
    <mergeCell ref="D50:F50"/>
    <mergeCell ref="D51:F51"/>
    <mergeCell ref="D52:F52"/>
    <mergeCell ref="D53:F53"/>
    <mergeCell ref="A54:F54"/>
    <mergeCell ref="A55:F55"/>
    <mergeCell ref="B41:C41"/>
    <mergeCell ref="A42:F42"/>
    <mergeCell ref="A43:B43"/>
    <mergeCell ref="D43:F43"/>
    <mergeCell ref="D44:F48"/>
    <mergeCell ref="A84:F103"/>
    <mergeCell ref="A56:E56"/>
    <mergeCell ref="A57:E57"/>
    <mergeCell ref="A58:E58"/>
    <mergeCell ref="C59:E59"/>
    <mergeCell ref="A60:F60"/>
    <mergeCell ref="A72:F72"/>
    <mergeCell ref="D49:F49"/>
    <mergeCell ref="A35:A40"/>
    <mergeCell ref="B35:C35"/>
    <mergeCell ref="B36:C36"/>
    <mergeCell ref="E36:E40"/>
    <mergeCell ref="B37:C37"/>
    <mergeCell ref="B38:C38"/>
    <mergeCell ref="B39:C39"/>
    <mergeCell ref="B40:C40"/>
    <mergeCell ref="A28:A33"/>
    <mergeCell ref="B28:C28"/>
    <mergeCell ref="B29:C29"/>
    <mergeCell ref="E29:E34"/>
    <mergeCell ref="B30:C30"/>
    <mergeCell ref="B31:C31"/>
    <mergeCell ref="B32:C32"/>
    <mergeCell ref="B33:C33"/>
    <mergeCell ref="B34:C34"/>
    <mergeCell ref="B19:C19"/>
    <mergeCell ref="E19:F19"/>
    <mergeCell ref="B20:C20"/>
    <mergeCell ref="B21:C21"/>
    <mergeCell ref="E21:E27"/>
    <mergeCell ref="B22:C22"/>
    <mergeCell ref="B24:C24"/>
    <mergeCell ref="B25:C25"/>
    <mergeCell ref="B26:C26"/>
    <mergeCell ref="B27:C27"/>
    <mergeCell ref="A13:F18"/>
    <mergeCell ref="A1:F1"/>
    <mergeCell ref="A2:F3"/>
    <mergeCell ref="B4:F4"/>
    <mergeCell ref="B5:F5"/>
    <mergeCell ref="B6:F6"/>
    <mergeCell ref="B7:C7"/>
    <mergeCell ref="E7:F7"/>
    <mergeCell ref="E8:F8"/>
    <mergeCell ref="B9:C9"/>
    <mergeCell ref="D9:E9"/>
    <mergeCell ref="A11:F11"/>
    <mergeCell ref="A12:F12"/>
  </mergeCells>
  <pageMargins left="0.25" right="0.25" top="0.75" bottom="0.75" header="0.3" footer="0.3"/>
  <pageSetup paperSize="9" scale="63"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41" r:id="rId4" name="Check Box 1">
              <controlPr defaultSize="0" autoFill="0" autoLine="0" autoPict="0">
                <anchor moveWithCells="1">
                  <from>
                    <xdr:col>1</xdr:col>
                    <xdr:colOff>523875</xdr:colOff>
                    <xdr:row>42</xdr:row>
                    <xdr:rowOff>219075</xdr:rowOff>
                  </from>
                  <to>
                    <xdr:col>2</xdr:col>
                    <xdr:colOff>66675</xdr:colOff>
                    <xdr:row>44</xdr:row>
                    <xdr:rowOff>38100</xdr:rowOff>
                  </to>
                </anchor>
              </controlPr>
            </control>
          </mc:Choice>
        </mc:AlternateContent>
        <mc:AlternateContent xmlns:mc="http://schemas.openxmlformats.org/markup-compatibility/2006">
          <mc:Choice Requires="x14">
            <control shapeId="10242" r:id="rId5" name="Check Box 2">
              <controlPr defaultSize="0" autoFill="0" autoLine="0" autoPict="0">
                <anchor moveWithCells="1">
                  <from>
                    <xdr:col>1</xdr:col>
                    <xdr:colOff>523875</xdr:colOff>
                    <xdr:row>43</xdr:row>
                    <xdr:rowOff>142875</xdr:rowOff>
                  </from>
                  <to>
                    <xdr:col>2</xdr:col>
                    <xdr:colOff>57150</xdr:colOff>
                    <xdr:row>45</xdr:row>
                    <xdr:rowOff>0</xdr:rowOff>
                  </to>
                </anchor>
              </controlPr>
            </control>
          </mc:Choice>
        </mc:AlternateContent>
        <mc:AlternateContent xmlns:mc="http://schemas.openxmlformats.org/markup-compatibility/2006">
          <mc:Choice Requires="x14">
            <control shapeId="10243" r:id="rId6" name="Check Box 3">
              <controlPr defaultSize="0" autoFill="0" autoLine="0" autoPict="0">
                <anchor moveWithCells="1">
                  <from>
                    <xdr:col>1</xdr:col>
                    <xdr:colOff>523875</xdr:colOff>
                    <xdr:row>45</xdr:row>
                    <xdr:rowOff>171450</xdr:rowOff>
                  </from>
                  <to>
                    <xdr:col>2</xdr:col>
                    <xdr:colOff>66675</xdr:colOff>
                    <xdr:row>47</xdr:row>
                    <xdr:rowOff>9525</xdr:rowOff>
                  </to>
                </anchor>
              </controlPr>
            </control>
          </mc:Choice>
        </mc:AlternateContent>
        <mc:AlternateContent xmlns:mc="http://schemas.openxmlformats.org/markup-compatibility/2006">
          <mc:Choice Requires="x14">
            <control shapeId="10244" r:id="rId7" name="Check Box 4">
              <controlPr defaultSize="0" autoFill="0" autoLine="0" autoPict="0">
                <anchor moveWithCells="1">
                  <from>
                    <xdr:col>1</xdr:col>
                    <xdr:colOff>523875</xdr:colOff>
                    <xdr:row>46</xdr:row>
                    <xdr:rowOff>152400</xdr:rowOff>
                  </from>
                  <to>
                    <xdr:col>2</xdr:col>
                    <xdr:colOff>57150</xdr:colOff>
                    <xdr:row>48</xdr:row>
                    <xdr:rowOff>0</xdr:rowOff>
                  </to>
                </anchor>
              </controlPr>
            </control>
          </mc:Choice>
        </mc:AlternateContent>
        <mc:AlternateContent xmlns:mc="http://schemas.openxmlformats.org/markup-compatibility/2006">
          <mc:Choice Requires="x14">
            <control shapeId="10245" r:id="rId8" name="Check Box 5">
              <controlPr defaultSize="0" autoFill="0" autoLine="0" autoPict="0">
                <anchor moveWithCells="1">
                  <from>
                    <xdr:col>1</xdr:col>
                    <xdr:colOff>523875</xdr:colOff>
                    <xdr:row>47</xdr:row>
                    <xdr:rowOff>171450</xdr:rowOff>
                  </from>
                  <to>
                    <xdr:col>2</xdr:col>
                    <xdr:colOff>57150</xdr:colOff>
                    <xdr:row>49</xdr:row>
                    <xdr:rowOff>9525</xdr:rowOff>
                  </to>
                </anchor>
              </controlPr>
            </control>
          </mc:Choice>
        </mc:AlternateContent>
        <mc:AlternateContent xmlns:mc="http://schemas.openxmlformats.org/markup-compatibility/2006">
          <mc:Choice Requires="x14">
            <control shapeId="10246" r:id="rId9" name="Check Box 6">
              <controlPr defaultSize="0" autoFill="0" autoLine="0" autoPict="0">
                <anchor moveWithCells="1">
                  <from>
                    <xdr:col>1</xdr:col>
                    <xdr:colOff>523875</xdr:colOff>
                    <xdr:row>48</xdr:row>
                    <xdr:rowOff>171450</xdr:rowOff>
                  </from>
                  <to>
                    <xdr:col>2</xdr:col>
                    <xdr:colOff>57150</xdr:colOff>
                    <xdr:row>50</xdr:row>
                    <xdr:rowOff>9525</xdr:rowOff>
                  </to>
                </anchor>
              </controlPr>
            </control>
          </mc:Choice>
        </mc:AlternateContent>
        <mc:AlternateContent xmlns:mc="http://schemas.openxmlformats.org/markup-compatibility/2006">
          <mc:Choice Requires="x14">
            <control shapeId="10247" r:id="rId10" name="Check Box 7">
              <controlPr defaultSize="0" autoFill="0" autoLine="0" autoPict="0">
                <anchor moveWithCells="1">
                  <from>
                    <xdr:col>1</xdr:col>
                    <xdr:colOff>523875</xdr:colOff>
                    <xdr:row>49</xdr:row>
                    <xdr:rowOff>171450</xdr:rowOff>
                  </from>
                  <to>
                    <xdr:col>2</xdr:col>
                    <xdr:colOff>57150</xdr:colOff>
                    <xdr:row>51</xdr:row>
                    <xdr:rowOff>9525</xdr:rowOff>
                  </to>
                </anchor>
              </controlPr>
            </control>
          </mc:Choice>
        </mc:AlternateContent>
        <mc:AlternateContent xmlns:mc="http://schemas.openxmlformats.org/markup-compatibility/2006">
          <mc:Choice Requires="x14">
            <control shapeId="10248" r:id="rId11" name="Check Box 8">
              <controlPr defaultSize="0" autoFill="0" autoLine="0" autoPict="0">
                <anchor moveWithCells="1">
                  <from>
                    <xdr:col>1</xdr:col>
                    <xdr:colOff>533400</xdr:colOff>
                    <xdr:row>50</xdr:row>
                    <xdr:rowOff>161925</xdr:rowOff>
                  </from>
                  <to>
                    <xdr:col>2</xdr:col>
                    <xdr:colOff>57150</xdr:colOff>
                    <xdr:row>52</xdr:row>
                    <xdr:rowOff>0</xdr:rowOff>
                  </to>
                </anchor>
              </controlPr>
            </control>
          </mc:Choice>
        </mc:AlternateContent>
        <mc:AlternateContent xmlns:mc="http://schemas.openxmlformats.org/markup-compatibility/2006">
          <mc:Choice Requires="x14">
            <control shapeId="10249" r:id="rId12" name="Check Box 9">
              <controlPr defaultSize="0" autoFill="0" autoLine="0" autoPict="0">
                <anchor moveWithCells="1">
                  <from>
                    <xdr:col>1</xdr:col>
                    <xdr:colOff>523875</xdr:colOff>
                    <xdr:row>51</xdr:row>
                    <xdr:rowOff>152400</xdr:rowOff>
                  </from>
                  <to>
                    <xdr:col>2</xdr:col>
                    <xdr:colOff>57150</xdr:colOff>
                    <xdr:row>53</xdr:row>
                    <xdr:rowOff>0</xdr:rowOff>
                  </to>
                </anchor>
              </controlPr>
            </control>
          </mc:Choice>
        </mc:AlternateContent>
        <mc:AlternateContent xmlns:mc="http://schemas.openxmlformats.org/markup-compatibility/2006">
          <mc:Choice Requires="x14">
            <control shapeId="10250" r:id="rId13" name="Check Box 10">
              <controlPr defaultSize="0" autoFill="0" autoLine="0" autoPict="0">
                <anchor moveWithCells="1">
                  <from>
                    <xdr:col>1</xdr:col>
                    <xdr:colOff>523875</xdr:colOff>
                    <xdr:row>44</xdr:row>
                    <xdr:rowOff>161925</xdr:rowOff>
                  </from>
                  <to>
                    <xdr:col>2</xdr:col>
                    <xdr:colOff>66675</xdr:colOff>
                    <xdr:row>46</xdr:row>
                    <xdr:rowOff>0</xdr:rowOff>
                  </to>
                </anchor>
              </controlPr>
            </control>
          </mc:Choice>
        </mc:AlternateContent>
        <mc:AlternateContent xmlns:mc="http://schemas.openxmlformats.org/markup-compatibility/2006">
          <mc:Choice Requires="x14">
            <control shapeId="10251" r:id="rId14" name="Check Box 11">
              <controlPr defaultSize="0" autoFill="0" autoLine="0" autoPict="0">
                <anchor moveWithCells="1">
                  <from>
                    <xdr:col>1</xdr:col>
                    <xdr:colOff>809625</xdr:colOff>
                    <xdr:row>7</xdr:row>
                    <xdr:rowOff>9525</xdr:rowOff>
                  </from>
                  <to>
                    <xdr:col>1</xdr:col>
                    <xdr:colOff>971550</xdr:colOff>
                    <xdr:row>8</xdr:row>
                    <xdr:rowOff>0</xdr:rowOff>
                  </to>
                </anchor>
              </controlPr>
            </control>
          </mc:Choice>
        </mc:AlternateContent>
        <mc:AlternateContent xmlns:mc="http://schemas.openxmlformats.org/markup-compatibility/2006">
          <mc:Choice Requires="x14">
            <control shapeId="10252" r:id="rId15" name="Check Box 12">
              <controlPr defaultSize="0" autoFill="0" autoLine="0" autoPict="0">
                <anchor moveWithCells="1">
                  <from>
                    <xdr:col>2</xdr:col>
                    <xdr:colOff>857250</xdr:colOff>
                    <xdr:row>6</xdr:row>
                    <xdr:rowOff>171450</xdr:rowOff>
                  </from>
                  <to>
                    <xdr:col>2</xdr:col>
                    <xdr:colOff>1552575</xdr:colOff>
                    <xdr:row>8</xdr:row>
                    <xdr:rowOff>9525</xdr:rowOff>
                  </to>
                </anchor>
              </controlPr>
            </control>
          </mc:Choice>
        </mc:AlternateContent>
        <mc:AlternateContent xmlns:mc="http://schemas.openxmlformats.org/markup-compatibility/2006">
          <mc:Choice Requires="x14">
            <control shapeId="10253" r:id="rId16" name="Check Box 13">
              <controlPr defaultSize="0" autoFill="0" autoLine="0" autoPict="0">
                <anchor moveWithCells="1">
                  <from>
                    <xdr:col>1</xdr:col>
                    <xdr:colOff>57150</xdr:colOff>
                    <xdr:row>8</xdr:row>
                    <xdr:rowOff>171450</xdr:rowOff>
                  </from>
                  <to>
                    <xdr:col>1</xdr:col>
                    <xdr:colOff>219075</xdr:colOff>
                    <xdr:row>9</xdr:row>
                    <xdr:rowOff>161925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1"/>
  <sheetViews>
    <sheetView workbookViewId="0">
      <selection activeCell="D26" sqref="D26"/>
    </sheetView>
  </sheetViews>
  <sheetFormatPr defaultColWidth="8.85546875" defaultRowHeight="15" x14ac:dyDescent="0.25"/>
  <cols>
    <col min="1" max="1" width="6.28515625" style="41" customWidth="1"/>
    <col min="2" max="2" width="43.7109375" style="22" customWidth="1"/>
    <col min="3" max="3" width="25.7109375" style="22" customWidth="1"/>
    <col min="4" max="4" width="41.85546875" style="22" customWidth="1"/>
    <col min="5" max="5" width="34.28515625" style="22" customWidth="1"/>
    <col min="6" max="6" width="9.85546875" style="22" customWidth="1"/>
    <col min="7" max="7" width="10.7109375" style="22" customWidth="1"/>
    <col min="8" max="8" width="16.28515625" style="46" customWidth="1"/>
    <col min="9" max="9" width="16.85546875" style="22" customWidth="1"/>
    <col min="10" max="16384" width="8.85546875" style="22"/>
  </cols>
  <sheetData>
    <row r="1" spans="1:11" ht="22.9" customHeight="1" x14ac:dyDescent="0.25">
      <c r="A1" s="47" t="s">
        <v>70</v>
      </c>
      <c r="B1" s="39" t="s">
        <v>67</v>
      </c>
      <c r="C1" s="38" t="s">
        <v>76</v>
      </c>
      <c r="D1" s="39" t="s">
        <v>68</v>
      </c>
      <c r="E1" s="48" t="s">
        <v>78</v>
      </c>
      <c r="F1" s="39" t="s">
        <v>69</v>
      </c>
      <c r="G1" s="49" t="s">
        <v>79</v>
      </c>
      <c r="H1" s="45" t="s">
        <v>80</v>
      </c>
      <c r="I1" s="20"/>
      <c r="J1" s="20"/>
      <c r="K1" s="21"/>
    </row>
    <row r="2" spans="1:11" ht="16.899999999999999" customHeight="1" x14ac:dyDescent="0.25">
      <c r="A2" s="40">
        <v>1</v>
      </c>
      <c r="B2" s="43" t="s">
        <v>81</v>
      </c>
      <c r="C2" s="36" t="s">
        <v>82</v>
      </c>
      <c r="D2" s="36" t="s">
        <v>83</v>
      </c>
      <c r="E2" s="44" t="s">
        <v>84</v>
      </c>
      <c r="F2" s="37">
        <v>1</v>
      </c>
      <c r="G2" s="37">
        <v>10.65</v>
      </c>
      <c r="H2" s="50">
        <f>F2*G2</f>
        <v>10.65</v>
      </c>
      <c r="I2" s="23"/>
      <c r="J2" s="23"/>
      <c r="K2" s="21"/>
    </row>
    <row r="3" spans="1:11" ht="16.899999999999999" customHeight="1" x14ac:dyDescent="0.25">
      <c r="A3" s="40">
        <v>2</v>
      </c>
      <c r="B3" s="37" t="s">
        <v>85</v>
      </c>
      <c r="C3" s="36" t="s">
        <v>86</v>
      </c>
      <c r="D3" s="36" t="s">
        <v>87</v>
      </c>
      <c r="E3" s="44" t="s">
        <v>84</v>
      </c>
      <c r="F3" s="37">
        <v>1</v>
      </c>
      <c r="G3" s="37">
        <v>6.93</v>
      </c>
      <c r="H3" s="50">
        <f t="shared" ref="H3:H5" si="0">F3*G3</f>
        <v>6.93</v>
      </c>
      <c r="I3" s="23"/>
      <c r="J3" s="23"/>
      <c r="K3" s="21"/>
    </row>
    <row r="4" spans="1:11" ht="16.899999999999999" customHeight="1" x14ac:dyDescent="0.25">
      <c r="A4" s="40">
        <v>3</v>
      </c>
      <c r="B4" s="37" t="s">
        <v>88</v>
      </c>
      <c r="C4" s="36" t="s">
        <v>89</v>
      </c>
      <c r="D4" s="36" t="s">
        <v>90</v>
      </c>
      <c r="E4" s="44" t="s">
        <v>84</v>
      </c>
      <c r="F4" s="37">
        <v>1</v>
      </c>
      <c r="G4" s="37">
        <v>9.33</v>
      </c>
      <c r="H4" s="50">
        <f t="shared" si="0"/>
        <v>9.33</v>
      </c>
      <c r="I4" s="23"/>
      <c r="J4" s="23"/>
      <c r="K4" s="21"/>
    </row>
    <row r="5" spans="1:11" ht="16.899999999999999" customHeight="1" x14ac:dyDescent="0.25">
      <c r="A5" s="40">
        <v>4</v>
      </c>
      <c r="B5" s="43" t="s">
        <v>91</v>
      </c>
      <c r="C5" s="36" t="s">
        <v>92</v>
      </c>
      <c r="D5" s="36" t="s">
        <v>93</v>
      </c>
      <c r="E5" s="44" t="s">
        <v>84</v>
      </c>
      <c r="F5" s="37">
        <v>1</v>
      </c>
      <c r="G5" s="37">
        <v>19.690000000000001</v>
      </c>
      <c r="H5" s="50">
        <f t="shared" si="0"/>
        <v>19.690000000000001</v>
      </c>
      <c r="I5" s="23"/>
      <c r="J5" s="23"/>
      <c r="K5" s="21"/>
    </row>
    <row r="6" spans="1:11" ht="16.899999999999999" customHeight="1" x14ac:dyDescent="0.25">
      <c r="A6" s="40">
        <v>5</v>
      </c>
      <c r="B6" s="51" t="s">
        <v>94</v>
      </c>
      <c r="C6" s="42" t="s">
        <v>95</v>
      </c>
      <c r="D6" s="36" t="s">
        <v>96</v>
      </c>
      <c r="E6" s="44" t="s">
        <v>84</v>
      </c>
      <c r="F6" s="37">
        <v>1</v>
      </c>
      <c r="G6" s="42">
        <v>4.25</v>
      </c>
      <c r="H6" s="52">
        <f>F6*G6</f>
        <v>4.25</v>
      </c>
    </row>
    <row r="8" spans="1:11" ht="15.4" customHeight="1" x14ac:dyDescent="0.25">
      <c r="D8" s="222" t="s">
        <v>77</v>
      </c>
      <c r="E8" s="222"/>
      <c r="F8" s="222"/>
      <c r="G8" s="222"/>
      <c r="H8" s="223">
        <f>SUM(H2:H6)</f>
        <v>50.849999999999994</v>
      </c>
    </row>
    <row r="9" spans="1:11" ht="14.65" customHeight="1" x14ac:dyDescent="0.25">
      <c r="D9" s="222"/>
      <c r="E9" s="222"/>
      <c r="F9" s="222"/>
      <c r="G9" s="222"/>
      <c r="H9" s="223"/>
    </row>
    <row r="11" spans="1:11" x14ac:dyDescent="0.25">
      <c r="B11" s="38"/>
      <c r="C11" s="38"/>
      <c r="E11" s="38"/>
    </row>
    <row r="12" spans="1:11" x14ac:dyDescent="0.25">
      <c r="B12" s="37"/>
    </row>
    <row r="13" spans="1:11" ht="15.75" thickBot="1" x14ac:dyDescent="0.3">
      <c r="B13" s="37"/>
    </row>
    <row r="14" spans="1:11" ht="15.75" thickBot="1" x14ac:dyDescent="0.3">
      <c r="B14" s="33" t="s">
        <v>71</v>
      </c>
    </row>
    <row r="15" spans="1:11" ht="15.75" thickBot="1" x14ac:dyDescent="0.3">
      <c r="B15" s="34" t="s">
        <v>72</v>
      </c>
    </row>
    <row r="16" spans="1:11" ht="15.75" thickBot="1" x14ac:dyDescent="0.3">
      <c r="B16" s="35" t="s">
        <v>73</v>
      </c>
    </row>
    <row r="17" spans="2:7" x14ac:dyDescent="0.25">
      <c r="B17" s="37"/>
    </row>
    <row r="18" spans="2:7" x14ac:dyDescent="0.25">
      <c r="B18" s="38"/>
      <c r="C18" s="38"/>
      <c r="D18" s="38"/>
      <c r="E18" s="38"/>
      <c r="F18" s="38"/>
      <c r="G18" s="38"/>
    </row>
    <row r="19" spans="2:7" x14ac:dyDescent="0.25">
      <c r="B19" s="37"/>
      <c r="C19" s="37"/>
      <c r="E19" s="37"/>
      <c r="F19" s="37"/>
      <c r="G19" s="37"/>
    </row>
    <row r="20" spans="2:7" x14ac:dyDescent="0.25">
      <c r="B20" s="37"/>
      <c r="C20" s="37"/>
      <c r="E20" s="37"/>
      <c r="F20" s="37"/>
      <c r="G20" s="37"/>
    </row>
    <row r="21" spans="2:7" x14ac:dyDescent="0.25">
      <c r="B21" s="37"/>
      <c r="C21" s="37"/>
      <c r="E21" s="37"/>
      <c r="F21" s="37"/>
      <c r="G21" s="37"/>
    </row>
    <row r="22" spans="2:7" x14ac:dyDescent="0.25">
      <c r="B22" s="37"/>
      <c r="C22" s="37"/>
      <c r="D22"/>
      <c r="E22" s="37"/>
      <c r="F22" s="37"/>
      <c r="G22" s="37"/>
    </row>
    <row r="23" spans="2:7" x14ac:dyDescent="0.25">
      <c r="B23" s="37"/>
      <c r="C23" s="37"/>
      <c r="D23"/>
      <c r="E23" s="37"/>
      <c r="F23" s="37"/>
      <c r="G23" s="37"/>
    </row>
    <row r="24" spans="2:7" x14ac:dyDescent="0.25">
      <c r="B24" s="37"/>
      <c r="C24" s="37"/>
      <c r="D24" s="44"/>
      <c r="E24" s="37"/>
      <c r="F24" s="37"/>
      <c r="G24" s="37"/>
    </row>
    <row r="25" spans="2:7" x14ac:dyDescent="0.25">
      <c r="B25" s="37"/>
      <c r="C25" s="37"/>
      <c r="D25"/>
      <c r="E25" s="37"/>
      <c r="F25" s="37"/>
      <c r="G25" s="37"/>
    </row>
    <row r="26" spans="2:7" x14ac:dyDescent="0.25">
      <c r="B26" s="37"/>
      <c r="C26" s="37"/>
      <c r="D26"/>
      <c r="E26" s="37"/>
      <c r="F26" s="37"/>
      <c r="G26" s="37"/>
    </row>
    <row r="27" spans="2:7" x14ac:dyDescent="0.25">
      <c r="B27" s="37"/>
      <c r="C27" s="37"/>
      <c r="D27" s="44"/>
      <c r="E27" s="37"/>
      <c r="F27" s="37"/>
      <c r="G27" s="37"/>
    </row>
    <row r="28" spans="2:7" x14ac:dyDescent="0.25">
      <c r="B28" s="37"/>
      <c r="C28" s="37"/>
      <c r="D28"/>
      <c r="E28" s="37"/>
      <c r="F28" s="37"/>
      <c r="G28" s="37"/>
    </row>
    <row r="29" spans="2:7" x14ac:dyDescent="0.25">
      <c r="B29" s="37"/>
      <c r="C29" s="37"/>
      <c r="D29"/>
      <c r="E29" s="37"/>
      <c r="F29" s="37"/>
      <c r="G29" s="37"/>
    </row>
    <row r="30" spans="2:7" x14ac:dyDescent="0.25">
      <c r="B30" s="37"/>
      <c r="C30" s="37"/>
      <c r="E30" s="37"/>
      <c r="F30" s="37"/>
      <c r="G30" s="37"/>
    </row>
    <row r="31" spans="2:7" x14ac:dyDescent="0.25">
      <c r="B31" s="37"/>
      <c r="C31" s="37"/>
      <c r="E31" s="37"/>
      <c r="F31" s="37"/>
      <c r="G31" s="37"/>
    </row>
    <row r="32" spans="2:7" x14ac:dyDescent="0.25">
      <c r="B32" s="37"/>
      <c r="C32" s="37"/>
      <c r="E32" s="37"/>
      <c r="F32" s="37"/>
      <c r="G32" s="37"/>
    </row>
    <row r="33" spans="1:7" x14ac:dyDescent="0.25">
      <c r="B33" s="37"/>
      <c r="C33" s="37"/>
      <c r="E33" s="37"/>
      <c r="F33" s="37"/>
      <c r="G33" s="37"/>
    </row>
    <row r="34" spans="1:7" x14ac:dyDescent="0.25">
      <c r="A34" s="41">
        <v>1</v>
      </c>
      <c r="E34" s="37"/>
      <c r="F34" s="37"/>
      <c r="G34" s="37"/>
    </row>
    <row r="35" spans="1:7" x14ac:dyDescent="0.25">
      <c r="A35" s="41">
        <v>2</v>
      </c>
      <c r="E35" s="37"/>
      <c r="F35" s="37"/>
      <c r="G35" s="37"/>
    </row>
    <row r="36" spans="1:7" x14ac:dyDescent="0.25">
      <c r="A36" s="41">
        <v>3</v>
      </c>
      <c r="E36" s="37"/>
      <c r="F36" s="37"/>
      <c r="G36" s="37"/>
    </row>
    <row r="37" spans="1:7" x14ac:dyDescent="0.25">
      <c r="A37" s="41">
        <v>4</v>
      </c>
      <c r="E37" s="37"/>
      <c r="F37" s="37"/>
      <c r="G37" s="37"/>
    </row>
    <row r="38" spans="1:7" x14ac:dyDescent="0.25">
      <c r="A38" s="41">
        <v>5</v>
      </c>
      <c r="E38" s="37"/>
      <c r="F38" s="37"/>
      <c r="G38" s="37"/>
    </row>
    <row r="39" spans="1:7" x14ac:dyDescent="0.25">
      <c r="A39" s="41">
        <v>6</v>
      </c>
      <c r="E39" s="37"/>
      <c r="F39" s="37"/>
      <c r="G39" s="37"/>
    </row>
    <row r="40" spans="1:7" x14ac:dyDescent="0.25">
      <c r="A40" s="41">
        <v>7</v>
      </c>
      <c r="E40" s="37"/>
      <c r="F40" s="37"/>
      <c r="G40" s="37"/>
    </row>
    <row r="41" spans="1:7" x14ac:dyDescent="0.25">
      <c r="A41" s="41">
        <v>8</v>
      </c>
      <c r="E41" s="37"/>
      <c r="F41" s="37"/>
      <c r="G41" s="37"/>
    </row>
    <row r="42" spans="1:7" x14ac:dyDescent="0.25">
      <c r="A42" s="41">
        <v>9</v>
      </c>
      <c r="E42" s="37"/>
      <c r="F42" s="37"/>
      <c r="G42" s="37"/>
    </row>
    <row r="43" spans="1:7" x14ac:dyDescent="0.25">
      <c r="A43" s="41">
        <v>10</v>
      </c>
    </row>
    <row r="44" spans="1:7" x14ac:dyDescent="0.25">
      <c r="A44" s="41">
        <v>11</v>
      </c>
    </row>
    <row r="45" spans="1:7" x14ac:dyDescent="0.25">
      <c r="A45" s="41">
        <v>12</v>
      </c>
    </row>
    <row r="46" spans="1:7" x14ac:dyDescent="0.25">
      <c r="A46" s="41">
        <v>13</v>
      </c>
    </row>
    <row r="47" spans="1:7" x14ac:dyDescent="0.25">
      <c r="A47" s="41">
        <v>14</v>
      </c>
    </row>
    <row r="48" spans="1:7" x14ac:dyDescent="0.25">
      <c r="A48" s="41">
        <v>15</v>
      </c>
    </row>
    <row r="49" spans="1:1" x14ac:dyDescent="0.25">
      <c r="A49" s="41">
        <v>16</v>
      </c>
    </row>
    <row r="50" spans="1:1" x14ac:dyDescent="0.25">
      <c r="A50" s="41">
        <v>17</v>
      </c>
    </row>
    <row r="51" spans="1:1" x14ac:dyDescent="0.25">
      <c r="A51" s="41">
        <v>18</v>
      </c>
    </row>
    <row r="52" spans="1:1" x14ac:dyDescent="0.25">
      <c r="A52" s="41">
        <v>19</v>
      </c>
    </row>
    <row r="53" spans="1:1" x14ac:dyDescent="0.25">
      <c r="A53" s="41">
        <v>20</v>
      </c>
    </row>
    <row r="54" spans="1:1" x14ac:dyDescent="0.25">
      <c r="A54" s="41">
        <v>21</v>
      </c>
    </row>
    <row r="55" spans="1:1" x14ac:dyDescent="0.25">
      <c r="A55" s="41">
        <v>22</v>
      </c>
    </row>
    <row r="56" spans="1:1" x14ac:dyDescent="0.25">
      <c r="A56" s="41">
        <v>23</v>
      </c>
    </row>
    <row r="57" spans="1:1" x14ac:dyDescent="0.25">
      <c r="A57" s="41">
        <v>24</v>
      </c>
    </row>
    <row r="58" spans="1:1" x14ac:dyDescent="0.25">
      <c r="A58" s="41">
        <v>25</v>
      </c>
    </row>
    <row r="59" spans="1:1" x14ac:dyDescent="0.25">
      <c r="A59" s="41">
        <v>26</v>
      </c>
    </row>
    <row r="60" spans="1:1" x14ac:dyDescent="0.25">
      <c r="A60" s="41">
        <v>27</v>
      </c>
    </row>
    <row r="61" spans="1:1" x14ac:dyDescent="0.25">
      <c r="A61" s="41">
        <v>28</v>
      </c>
    </row>
  </sheetData>
  <mergeCells count="2">
    <mergeCell ref="D8:G9"/>
    <mergeCell ref="H8:H9"/>
  </mergeCell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workbookViewId="0">
      <selection activeCell="B25" sqref="B25"/>
    </sheetView>
  </sheetViews>
  <sheetFormatPr defaultColWidth="9.140625" defaultRowHeight="15" customHeight="1" x14ac:dyDescent="0.2"/>
  <cols>
    <col min="1" max="1" width="37.42578125" style="1" customWidth="1"/>
    <col min="2" max="2" width="17.85546875" style="1" customWidth="1"/>
    <col min="3" max="3" width="35.28515625" style="1" customWidth="1"/>
    <col min="4" max="4" width="19.85546875" style="1" customWidth="1"/>
    <col min="5" max="5" width="15.42578125" style="1" customWidth="1"/>
    <col min="6" max="6" width="20" style="1" customWidth="1"/>
    <col min="7" max="16384" width="9.140625" style="1"/>
  </cols>
  <sheetData>
    <row r="1" spans="1:9" ht="14.25" x14ac:dyDescent="0.2">
      <c r="A1" s="224" t="s">
        <v>97</v>
      </c>
      <c r="B1" s="224"/>
      <c r="C1" s="224"/>
      <c r="D1" s="224"/>
      <c r="E1" s="224"/>
      <c r="F1" s="224"/>
    </row>
    <row r="2" spans="1:9" ht="14.25" x14ac:dyDescent="0.2">
      <c r="A2" s="53"/>
      <c r="B2" s="53"/>
      <c r="C2" s="53"/>
      <c r="D2" s="53"/>
      <c r="E2" s="53"/>
      <c r="F2" s="53"/>
      <c r="I2" s="1">
        <v>2</v>
      </c>
    </row>
    <row r="3" spans="1:9" ht="14.25" x14ac:dyDescent="0.2">
      <c r="A3" s="53"/>
      <c r="B3" s="53"/>
      <c r="C3" s="53"/>
      <c r="D3" s="53"/>
      <c r="E3" s="53"/>
      <c r="F3" s="53"/>
    </row>
  </sheetData>
  <mergeCells count="1">
    <mergeCell ref="A1:F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Plant Monitoring Sensor Network</vt:lpstr>
      <vt:lpstr>Component List</vt:lpstr>
      <vt:lpstr>Additional Project Details</vt:lpstr>
      <vt:lpstr>'Plant Monitoring Sensor Network'!Print_Area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HP i7</cp:lastModifiedBy>
  <cp:revision/>
  <cp:lastPrinted>2025-11-08T21:53:02Z</cp:lastPrinted>
  <dcterms:created xsi:type="dcterms:W3CDTF">2025-07-30T18:47:13Z</dcterms:created>
  <dcterms:modified xsi:type="dcterms:W3CDTF">2025-11-08T21:53:07Z</dcterms:modified>
  <cp:category/>
  <cp:contentStatus/>
</cp:coreProperties>
</file>